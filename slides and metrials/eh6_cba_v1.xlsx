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cfhkrems-my.sharepoint.com/personal/karl_hoeferl_fh-krems_ac_at/Documents/Dokumente/2___Lehre/SS 26/Data and Decision Making/"/>
    </mc:Choice>
  </mc:AlternateContent>
  <xr:revisionPtr revIDLastSave="318" documentId="8_{EEAC3479-862F-44C1-93F1-0D35C3531C1A}" xr6:coauthVersionLast="47" xr6:coauthVersionMax="47" xr10:uidLastSave="{B4D4B8D2-5F83-46E8-A0F2-62C8EFA21C89}"/>
  <bookViews>
    <workbookView xWindow="384" yWindow="60" windowWidth="18600" windowHeight="17316" tabRatio="703" activeTab="2" xr2:uid="{60F977E9-801A-43F4-9D7C-C1E890B842A8}"/>
  </bookViews>
  <sheets>
    <sheet name="Assumptions" sheetId="5" r:id="rId1"/>
    <sheet name="CBA" sheetId="6" r:id="rId2"/>
    <sheet name="Sensitivity Analysis" sheetId="7" r:id="rId3"/>
    <sheet name="###" sheetId="4" r:id="rId4"/>
    <sheet name="complete Assumptions" sheetId="1" r:id="rId5"/>
    <sheet name="complete CBA" sheetId="2" r:id="rId6"/>
    <sheet name="complete Sensitivity Analysi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C19" i="6"/>
  <c r="C18" i="6"/>
  <c r="C16" i="6"/>
  <c r="C16" i="2"/>
  <c r="C14" i="6"/>
  <c r="I14" i="6"/>
  <c r="I16" i="6" s="1"/>
  <c r="I18" i="6" s="1"/>
  <c r="J14" i="6"/>
  <c r="J16" i="6" s="1"/>
  <c r="J18" i="6" s="1"/>
  <c r="K14" i="6"/>
  <c r="K16" i="6" s="1"/>
  <c r="K18" i="6" s="1"/>
  <c r="L14" i="6"/>
  <c r="L16" i="6" s="1"/>
  <c r="L18" i="6" s="1"/>
  <c r="M14" i="6"/>
  <c r="M16" i="6" s="1"/>
  <c r="M18" i="6" s="1"/>
  <c r="M13" i="6"/>
  <c r="D12" i="6"/>
  <c r="E12" i="6"/>
  <c r="F12" i="6"/>
  <c r="G12" i="6"/>
  <c r="H12" i="6"/>
  <c r="I12" i="6"/>
  <c r="J12" i="6"/>
  <c r="K12" i="6"/>
  <c r="L12" i="6"/>
  <c r="M12" i="6"/>
  <c r="D11" i="6"/>
  <c r="D14" i="6" s="1"/>
  <c r="E11" i="6"/>
  <c r="E14" i="6" s="1"/>
  <c r="E16" i="6" s="1"/>
  <c r="E18" i="6" s="1"/>
  <c r="F11" i="6"/>
  <c r="F14" i="6" s="1"/>
  <c r="F16" i="6" s="1"/>
  <c r="F18" i="6" s="1"/>
  <c r="G11" i="6"/>
  <c r="G14" i="6" s="1"/>
  <c r="G16" i="6" s="1"/>
  <c r="G18" i="6" s="1"/>
  <c r="H11" i="6"/>
  <c r="H14" i="6" s="1"/>
  <c r="H16" i="6" s="1"/>
  <c r="H18" i="6" s="1"/>
  <c r="I11" i="6"/>
  <c r="J11" i="6"/>
  <c r="K11" i="6"/>
  <c r="L11" i="6"/>
  <c r="M11" i="6"/>
  <c r="C9" i="6"/>
  <c r="D9" i="6"/>
  <c r="E9" i="6"/>
  <c r="F9" i="6"/>
  <c r="G9" i="6"/>
  <c r="H9" i="6"/>
  <c r="I9" i="6"/>
  <c r="J9" i="6"/>
  <c r="K9" i="6"/>
  <c r="L9" i="6"/>
  <c r="M9" i="6"/>
  <c r="E8" i="6"/>
  <c r="F8" i="6"/>
  <c r="G8" i="6"/>
  <c r="H8" i="6"/>
  <c r="I8" i="6"/>
  <c r="J8" i="6"/>
  <c r="K8" i="6"/>
  <c r="L8" i="6"/>
  <c r="M8" i="6"/>
  <c r="D8" i="6"/>
  <c r="C7" i="6"/>
  <c r="D7" i="7"/>
  <c r="D6" i="7"/>
  <c r="M17" i="6"/>
  <c r="L17" i="6"/>
  <c r="K17" i="6"/>
  <c r="J17" i="6"/>
  <c r="I17" i="6"/>
  <c r="H17" i="6"/>
  <c r="G17" i="6"/>
  <c r="F17" i="6"/>
  <c r="E17" i="6"/>
  <c r="D17" i="6"/>
  <c r="M5" i="6"/>
  <c r="L5" i="6"/>
  <c r="K5" i="6"/>
  <c r="J5" i="6"/>
  <c r="I5" i="6"/>
  <c r="H5" i="6"/>
  <c r="G5" i="6"/>
  <c r="F5" i="6"/>
  <c r="E5" i="6"/>
  <c r="D5" i="6"/>
  <c r="C5" i="6"/>
  <c r="C25" i="6" l="1"/>
  <c r="C27" i="6" s="1"/>
  <c r="D16" i="6"/>
  <c r="D18" i="6" s="1"/>
  <c r="D19" i="6" s="1"/>
  <c r="E19" i="6" s="1"/>
  <c r="F19" i="6" s="1"/>
  <c r="G19" i="6" s="1"/>
  <c r="H19" i="6" s="1"/>
  <c r="I19" i="6" s="1"/>
  <c r="J19" i="6" s="1"/>
  <c r="K19" i="6" s="1"/>
  <c r="L19" i="6" s="1"/>
  <c r="M19" i="6" s="1"/>
  <c r="C26" i="6" s="1"/>
  <c r="D7" i="3"/>
  <c r="D6" i="3"/>
  <c r="M17" i="2"/>
  <c r="L17" i="2"/>
  <c r="K17" i="2"/>
  <c r="J17" i="2"/>
  <c r="I17" i="2"/>
  <c r="H17" i="2"/>
  <c r="G17" i="2"/>
  <c r="F17" i="2"/>
  <c r="E17" i="2"/>
  <c r="D17" i="2"/>
  <c r="J16" i="2"/>
  <c r="J18" i="2" s="1"/>
  <c r="K16" i="2"/>
  <c r="K18" i="2" s="1"/>
  <c r="L16" i="2"/>
  <c r="L18" i="2" s="1"/>
  <c r="D8" i="2"/>
  <c r="D9" i="2" s="1"/>
  <c r="E8" i="2"/>
  <c r="F8" i="2"/>
  <c r="G8" i="2"/>
  <c r="H8" i="2"/>
  <c r="H9" i="2" s="1"/>
  <c r="I8" i="2"/>
  <c r="I9" i="2" s="1"/>
  <c r="J8" i="2"/>
  <c r="J9" i="2" s="1"/>
  <c r="K8" i="2"/>
  <c r="K9" i="2" s="1"/>
  <c r="L8" i="2"/>
  <c r="L9" i="2" s="1"/>
  <c r="M8" i="2"/>
  <c r="M9" i="2" s="1"/>
  <c r="C7" i="2"/>
  <c r="C9" i="2" s="1"/>
  <c r="C14" i="2"/>
  <c r="D14" i="2"/>
  <c r="D16" i="2" s="1"/>
  <c r="D18" i="2" s="1"/>
  <c r="J14" i="2"/>
  <c r="K14" i="2"/>
  <c r="L14" i="2"/>
  <c r="M13" i="2"/>
  <c r="M14" i="2" s="1"/>
  <c r="M16" i="2" s="1"/>
  <c r="M18" i="2" s="1"/>
  <c r="D12" i="2"/>
  <c r="E12" i="2"/>
  <c r="F12" i="2"/>
  <c r="G12" i="2"/>
  <c r="H12" i="2"/>
  <c r="I12" i="2"/>
  <c r="J12" i="2"/>
  <c r="K12" i="2"/>
  <c r="L12" i="2"/>
  <c r="M12" i="2"/>
  <c r="D11" i="2"/>
  <c r="E11" i="2"/>
  <c r="E14" i="2" s="1"/>
  <c r="E16" i="2" s="1"/>
  <c r="E18" i="2" s="1"/>
  <c r="F11" i="2"/>
  <c r="F14" i="2" s="1"/>
  <c r="F16" i="2" s="1"/>
  <c r="F18" i="2" s="1"/>
  <c r="G11" i="2"/>
  <c r="G14" i="2" s="1"/>
  <c r="G16" i="2" s="1"/>
  <c r="G18" i="2" s="1"/>
  <c r="H11" i="2"/>
  <c r="H14" i="2" s="1"/>
  <c r="H16" i="2" s="1"/>
  <c r="H18" i="2" s="1"/>
  <c r="I11" i="2"/>
  <c r="I14" i="2" s="1"/>
  <c r="I16" i="2" s="1"/>
  <c r="I18" i="2" s="1"/>
  <c r="J11" i="2"/>
  <c r="K11" i="2"/>
  <c r="L11" i="2"/>
  <c r="M11" i="2"/>
  <c r="E9" i="2"/>
  <c r="F9" i="2"/>
  <c r="G9" i="2"/>
  <c r="D5" i="2"/>
  <c r="E5" i="2"/>
  <c r="F5" i="2"/>
  <c r="G5" i="2"/>
  <c r="H5" i="2"/>
  <c r="I5" i="2"/>
  <c r="J5" i="2"/>
  <c r="K5" i="2"/>
  <c r="L5" i="2"/>
  <c r="M5" i="2"/>
  <c r="C5" i="2"/>
  <c r="C24" i="2" l="1"/>
  <c r="C25" i="2"/>
  <c r="C27" i="2" s="1"/>
  <c r="C18" i="2"/>
  <c r="C19" i="2" s="1"/>
  <c r="D19" i="2" s="1"/>
  <c r="E19" i="2" s="1"/>
  <c r="F19" i="2" s="1"/>
  <c r="G19" i="2" s="1"/>
  <c r="H19" i="2" s="1"/>
  <c r="I19" i="2" s="1"/>
  <c r="J19" i="2" s="1"/>
  <c r="K19" i="2" s="1"/>
  <c r="L19" i="2" s="1"/>
  <c r="M19" i="2" s="1"/>
  <c r="C26" i="2" s="1"/>
</calcChain>
</file>

<file path=xl/sharedStrings.xml><?xml version="1.0" encoding="utf-8"?>
<sst xmlns="http://schemas.openxmlformats.org/spreadsheetml/2006/main" count="158" uniqueCount="67">
  <si>
    <t>Parameter</t>
  </si>
  <si>
    <t>Value</t>
  </si>
  <si>
    <t>Unit</t>
  </si>
  <si>
    <t xml:space="preserve">  INVESTMENT</t>
  </si>
  <si>
    <t xml:space="preserve">  Initial investment</t>
  </si>
  <si>
    <t>€</t>
  </si>
  <si>
    <t>One-time cost in Year 0</t>
  </si>
  <si>
    <t xml:space="preserve">  System lifetime</t>
  </si>
  <si>
    <t>Analysis horizon</t>
  </si>
  <si>
    <t xml:space="preserve">  Residual value</t>
  </si>
  <si>
    <t>Estimated value at end of Year 10</t>
  </si>
  <si>
    <t xml:space="preserve">  ANNUAL COSTS</t>
  </si>
  <si>
    <t xml:space="preserve">  Maintenance cost</t>
  </si>
  <si>
    <t>€/year</t>
  </si>
  <si>
    <t>Annual servicing</t>
  </si>
  <si>
    <t xml:space="preserve">  ANNUAL BENEFITS</t>
  </si>
  <si>
    <t xml:space="preserve">  Energy cost savings</t>
  </si>
  <si>
    <t xml:space="preserve">  Avoided carbon tax</t>
  </si>
  <si>
    <t>Estimated regulatory saving</t>
  </si>
  <si>
    <t xml:space="preserve">  DISCOUNT RATE</t>
  </si>
  <si>
    <t xml:space="preserve">  Discount rate</t>
  </si>
  <si>
    <t>%</t>
  </si>
  <si>
    <t>Cost of capital / required return</t>
  </si>
  <si>
    <t>Assumptions</t>
  </si>
  <si>
    <t>Comments</t>
  </si>
  <si>
    <t>Assumed value</t>
  </si>
  <si>
    <t>Reduced electricity we have to buy from the market</t>
  </si>
  <si>
    <t>years</t>
  </si>
  <si>
    <t xml:space="preserve">  Initial Investment (€)</t>
  </si>
  <si>
    <t xml:space="preserve">  Annual Maintenance Cost (€)</t>
  </si>
  <si>
    <t xml:space="preserve">  TOTAL COSTS (€)</t>
  </si>
  <si>
    <t>BENEFITS</t>
  </si>
  <si>
    <t>COSTS</t>
  </si>
  <si>
    <t xml:space="preserve">  Energy Cost Savings (€)</t>
  </si>
  <si>
    <t xml:space="preserve">  Avoided Carbon Tax (€)</t>
  </si>
  <si>
    <t xml:space="preserve">  Residual Value (€)</t>
  </si>
  <si>
    <t xml:space="preserve">  TOTAL BENEFITS (€)</t>
  </si>
  <si>
    <t>NET CASH FLOW &amp; DISCOUNTING</t>
  </si>
  <si>
    <t xml:space="preserve">  Net Cash Flow (€)</t>
  </si>
  <si>
    <t xml:space="preserve">  Discount Factor</t>
  </si>
  <si>
    <t xml:space="preserve">  Present Value of Cash Flow (€)</t>
  </si>
  <si>
    <t xml:space="preserve">  Cumulative Net Present Value - NPV (€)</t>
  </si>
  <si>
    <t xml:space="preserve">  Total Undiscounted Costs (€)</t>
  </si>
  <si>
    <t xml:space="preserve">  Total Undiscounted Benefits (€)</t>
  </si>
  <si>
    <t xml:space="preserve">  Payback Period (approx. years)</t>
  </si>
  <si>
    <t>Positions</t>
  </si>
  <si>
    <t>Benefits &amp; Costs Overview</t>
  </si>
  <si>
    <t>CBA - 10 year Cash Flow Model</t>
  </si>
  <si>
    <t>How robust is our result?</t>
  </si>
  <si>
    <t>Scenario</t>
  </si>
  <si>
    <t>Changed Assumption</t>
  </si>
  <si>
    <t>Base Case</t>
  </si>
  <si>
    <t>Higher energy prices</t>
  </si>
  <si>
    <t>Energy savings +50%</t>
  </si>
  <si>
    <t>Lower energy prices</t>
  </si>
  <si>
    <t>Energy savings -50%</t>
  </si>
  <si>
    <t>Higher discount rate</t>
  </si>
  <si>
    <t>Discount rate 8%</t>
  </si>
  <si>
    <t>Lower discount rate</t>
  </si>
  <si>
    <t>Discount rate 3%</t>
  </si>
  <si>
    <t>CO₂ revenue = €0</t>
  </si>
  <si>
    <t>-</t>
  </si>
  <si>
    <t xml:space="preserve">  Net Present Value - NPV (€)</t>
  </si>
  <si>
    <t xml:space="preserve">  Benefit-Cost Ratio - BCR [-]</t>
  </si>
  <si>
    <t>Payback period [y]</t>
  </si>
  <si>
    <t>BCR [-]</t>
  </si>
  <si>
    <t>NPV [€]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</si>
</sst>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6"/>
      <color rgb="FF006100"/>
      <name val="Aptos Narrow"/>
      <family val="2"/>
      <scheme val="minor"/>
    </font>
    <font>
      <b/>
      <sz val="16"/>
      <color rgb="FF9C0006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3" borderId="0" xfId="2" applyFont="1" applyAlignment="1">
      <alignment horizontal="center" vertical="center"/>
    </xf>
    <xf numFmtId="0" fontId="5" fillId="2" borderId="0" xfId="1" applyFont="1" applyAlignment="1">
      <alignment horizontal="center"/>
    </xf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F734-6FA5-448F-970F-B05E88A64946}">
  <sheetPr>
    <tabColor theme="9" tint="0.59999389629810485"/>
  </sheetPr>
  <dimension ref="B2:E15"/>
  <sheetViews>
    <sheetView zoomScale="145" zoomScaleNormal="145" workbookViewId="0">
      <selection activeCell="C13" sqref="C13"/>
    </sheetView>
  </sheetViews>
  <sheetFormatPr baseColWidth="10" defaultRowHeight="14.4" x14ac:dyDescent="0.3"/>
  <cols>
    <col min="1" max="1" width="3.6640625" customWidth="1"/>
    <col min="2" max="2" width="20.33203125" bestFit="1" customWidth="1"/>
    <col min="3" max="3" width="13.33203125" bestFit="1" customWidth="1"/>
    <col min="5" max="5" width="27.33203125" style="1" bestFit="1" customWidth="1"/>
  </cols>
  <sheetData>
    <row r="2" spans="2:5" s="2" customFormat="1" x14ac:dyDescent="0.3">
      <c r="B2" s="24" t="s">
        <v>23</v>
      </c>
      <c r="C2" s="24"/>
      <c r="D2" s="24"/>
      <c r="E2" s="24"/>
    </row>
    <row r="3" spans="2:5" s="2" customFormat="1" x14ac:dyDescent="0.3">
      <c r="E3" s="3"/>
    </row>
    <row r="4" spans="2:5" s="2" customFormat="1" x14ac:dyDescent="0.3">
      <c r="B4" s="7" t="s">
        <v>0</v>
      </c>
      <c r="C4" s="7" t="s">
        <v>25</v>
      </c>
      <c r="D4" s="7" t="s">
        <v>2</v>
      </c>
      <c r="E4" s="8" t="s">
        <v>24</v>
      </c>
    </row>
    <row r="5" spans="2:5" s="2" customFormat="1" x14ac:dyDescent="0.3">
      <c r="B5" s="4" t="s">
        <v>3</v>
      </c>
      <c r="C5" s="9"/>
      <c r="D5" s="9"/>
      <c r="E5" s="6"/>
    </row>
    <row r="6" spans="2:5" s="2" customFormat="1" x14ac:dyDescent="0.3">
      <c r="B6" s="5" t="s">
        <v>4</v>
      </c>
      <c r="C6" s="11">
        <v>100000</v>
      </c>
      <c r="D6" s="9" t="s">
        <v>5</v>
      </c>
      <c r="E6" s="6" t="s">
        <v>6</v>
      </c>
    </row>
    <row r="7" spans="2:5" s="2" customFormat="1" x14ac:dyDescent="0.3">
      <c r="B7" s="5" t="s">
        <v>7</v>
      </c>
      <c r="C7" s="11">
        <v>10</v>
      </c>
      <c r="D7" s="9" t="s">
        <v>27</v>
      </c>
      <c r="E7" s="6" t="s">
        <v>8</v>
      </c>
    </row>
    <row r="8" spans="2:5" s="2" customFormat="1" x14ac:dyDescent="0.3">
      <c r="B8" s="5" t="s">
        <v>9</v>
      </c>
      <c r="C8" s="11">
        <v>15000</v>
      </c>
      <c r="D8" s="9" t="s">
        <v>5</v>
      </c>
      <c r="E8" s="6" t="s">
        <v>10</v>
      </c>
    </row>
    <row r="9" spans="2:5" s="2" customFormat="1" x14ac:dyDescent="0.3">
      <c r="B9" s="4" t="s">
        <v>11</v>
      </c>
      <c r="C9" s="11"/>
      <c r="D9" s="9"/>
      <c r="E9" s="6"/>
    </row>
    <row r="10" spans="2:5" s="2" customFormat="1" x14ac:dyDescent="0.3">
      <c r="B10" s="5" t="s">
        <v>12</v>
      </c>
      <c r="C10" s="11">
        <v>3000</v>
      </c>
      <c r="D10" s="9" t="s">
        <v>13</v>
      </c>
      <c r="E10" s="6" t="s">
        <v>14</v>
      </c>
    </row>
    <row r="11" spans="2:5" s="2" customFormat="1" x14ac:dyDescent="0.3">
      <c r="B11" s="4" t="s">
        <v>15</v>
      </c>
      <c r="C11" s="11"/>
      <c r="D11" s="9"/>
      <c r="E11" s="6"/>
    </row>
    <row r="12" spans="2:5" s="2" customFormat="1" ht="28.8" x14ac:dyDescent="0.3">
      <c r="B12" s="5" t="s">
        <v>16</v>
      </c>
      <c r="C12" s="11">
        <v>30000</v>
      </c>
      <c r="D12" s="9" t="s">
        <v>13</v>
      </c>
      <c r="E12" s="6" t="s">
        <v>26</v>
      </c>
    </row>
    <row r="13" spans="2:5" s="2" customFormat="1" x14ac:dyDescent="0.3">
      <c r="B13" s="5" t="s">
        <v>17</v>
      </c>
      <c r="C13" s="11">
        <v>2000</v>
      </c>
      <c r="D13" s="9" t="s">
        <v>13</v>
      </c>
      <c r="E13" s="6" t="s">
        <v>18</v>
      </c>
    </row>
    <row r="14" spans="2:5" s="2" customFormat="1" x14ac:dyDescent="0.3">
      <c r="B14" s="4" t="s">
        <v>19</v>
      </c>
      <c r="C14" s="11"/>
      <c r="D14" s="9"/>
      <c r="E14" s="6"/>
    </row>
    <row r="15" spans="2:5" s="2" customFormat="1" x14ac:dyDescent="0.3">
      <c r="B15" s="5" t="s">
        <v>20</v>
      </c>
      <c r="C15" s="12">
        <v>0.05</v>
      </c>
      <c r="D15" s="9" t="s">
        <v>21</v>
      </c>
      <c r="E15" s="6" t="s">
        <v>22</v>
      </c>
    </row>
  </sheetData>
  <mergeCells count="1">
    <mergeCell ref="B2:E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55A9-B857-496E-9A2B-BF5A6A85E141}">
  <sheetPr>
    <tabColor theme="9" tint="0.59999389629810485"/>
  </sheetPr>
  <dimension ref="B2:M28"/>
  <sheetViews>
    <sheetView topLeftCell="B1" zoomScaleNormal="100" workbookViewId="0">
      <selection activeCell="C26" sqref="C26"/>
    </sheetView>
  </sheetViews>
  <sheetFormatPr baseColWidth="10" defaultRowHeight="14.4" x14ac:dyDescent="0.3"/>
  <cols>
    <col min="2" max="2" width="35.109375" bestFit="1" customWidth="1"/>
  </cols>
  <sheetData>
    <row r="2" spans="2:13" s="2" customFormat="1" ht="27.6" customHeight="1" x14ac:dyDescent="0.3">
      <c r="B2" s="25" t="s">
        <v>47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4" spans="2:13" x14ac:dyDescent="0.3">
      <c r="C4" s="13">
        <v>0</v>
      </c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</row>
    <row r="5" spans="2:13" x14ac:dyDescent="0.3">
      <c r="B5" s="18" t="s">
        <v>45</v>
      </c>
      <c r="C5" s="19" t="str">
        <f>"Year " &amp;C4</f>
        <v>Year 0</v>
      </c>
      <c r="D5" s="19" t="str">
        <f t="shared" ref="D5:M5" si="0">"Year " &amp;D4</f>
        <v>Year 1</v>
      </c>
      <c r="E5" s="19" t="str">
        <f t="shared" si="0"/>
        <v>Year 2</v>
      </c>
      <c r="F5" s="19" t="str">
        <f t="shared" si="0"/>
        <v>Year 3</v>
      </c>
      <c r="G5" s="19" t="str">
        <f t="shared" si="0"/>
        <v>Year 4</v>
      </c>
      <c r="H5" s="19" t="str">
        <f t="shared" si="0"/>
        <v>Year 5</v>
      </c>
      <c r="I5" s="19" t="str">
        <f t="shared" si="0"/>
        <v>Year 6</v>
      </c>
      <c r="J5" s="19" t="str">
        <f t="shared" si="0"/>
        <v>Year 7</v>
      </c>
      <c r="K5" s="19" t="str">
        <f t="shared" si="0"/>
        <v>Year 8</v>
      </c>
      <c r="L5" s="19" t="str">
        <f t="shared" si="0"/>
        <v>Year 9</v>
      </c>
      <c r="M5" s="19" t="str">
        <f t="shared" si="0"/>
        <v>Year 10</v>
      </c>
    </row>
    <row r="6" spans="2:13" s="2" customFormat="1" ht="27.6" customHeight="1" x14ac:dyDescent="0.3">
      <c r="B6" s="26" t="s">
        <v>32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2:13" s="2" customFormat="1" x14ac:dyDescent="0.3">
      <c r="B7" s="4" t="s">
        <v>28</v>
      </c>
      <c r="C7" s="20">
        <f>Assumptions!$C$6</f>
        <v>100000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 s="2" customFormat="1" x14ac:dyDescent="0.3">
      <c r="B8" s="4" t="s">
        <v>29</v>
      </c>
      <c r="C8" s="5"/>
      <c r="D8" s="20">
        <f>Assumptions!$C$10</f>
        <v>3000</v>
      </c>
      <c r="E8" s="20">
        <f>Assumptions!$C$10</f>
        <v>3000</v>
      </c>
      <c r="F8" s="20">
        <f>Assumptions!$C$10</f>
        <v>3000</v>
      </c>
      <c r="G8" s="20">
        <f>Assumptions!$C$10</f>
        <v>3000</v>
      </c>
      <c r="H8" s="20">
        <f>Assumptions!$C$10</f>
        <v>3000</v>
      </c>
      <c r="I8" s="20">
        <f>Assumptions!$C$10</f>
        <v>3000</v>
      </c>
      <c r="J8" s="20">
        <f>Assumptions!$C$10</f>
        <v>3000</v>
      </c>
      <c r="K8" s="20">
        <f>Assumptions!$C$10</f>
        <v>3000</v>
      </c>
      <c r="L8" s="20">
        <f>Assumptions!$C$10</f>
        <v>3000</v>
      </c>
      <c r="M8" s="20">
        <f>Assumptions!$C$10</f>
        <v>3000</v>
      </c>
    </row>
    <row r="9" spans="2:13" s="2" customFormat="1" x14ac:dyDescent="0.3">
      <c r="B9" s="4" t="s">
        <v>30</v>
      </c>
      <c r="C9" s="20">
        <f t="shared" ref="C9:M9" si="1">SUM(C7:C8)</f>
        <v>100000</v>
      </c>
      <c r="D9" s="20">
        <f t="shared" si="1"/>
        <v>3000</v>
      </c>
      <c r="E9" s="20">
        <f t="shared" si="1"/>
        <v>3000</v>
      </c>
      <c r="F9" s="20">
        <f t="shared" si="1"/>
        <v>3000</v>
      </c>
      <c r="G9" s="20">
        <f t="shared" si="1"/>
        <v>3000</v>
      </c>
      <c r="H9" s="20">
        <f t="shared" si="1"/>
        <v>3000</v>
      </c>
      <c r="I9" s="20">
        <f t="shared" si="1"/>
        <v>3000</v>
      </c>
      <c r="J9" s="20">
        <f t="shared" si="1"/>
        <v>3000</v>
      </c>
      <c r="K9" s="20">
        <f t="shared" si="1"/>
        <v>3000</v>
      </c>
      <c r="L9" s="20">
        <f t="shared" si="1"/>
        <v>3000</v>
      </c>
      <c r="M9" s="20">
        <f t="shared" si="1"/>
        <v>3000</v>
      </c>
    </row>
    <row r="10" spans="2:13" s="2" customFormat="1" ht="31.8" customHeight="1" x14ac:dyDescent="0.3">
      <c r="B10" s="26" t="s">
        <v>31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</row>
    <row r="11" spans="2:13" s="2" customFormat="1" x14ac:dyDescent="0.3">
      <c r="B11" s="4" t="s">
        <v>33</v>
      </c>
      <c r="C11" s="20"/>
      <c r="D11" s="20">
        <f>Assumptions!$C$12</f>
        <v>30000</v>
      </c>
      <c r="E11" s="20">
        <f>Assumptions!$C$12</f>
        <v>30000</v>
      </c>
      <c r="F11" s="20">
        <f>Assumptions!$C$12</f>
        <v>30000</v>
      </c>
      <c r="G11" s="20">
        <f>Assumptions!$C$12</f>
        <v>30000</v>
      </c>
      <c r="H11" s="20">
        <f>Assumptions!$C$12</f>
        <v>30000</v>
      </c>
      <c r="I11" s="20">
        <f>Assumptions!$C$12</f>
        <v>30000</v>
      </c>
      <c r="J11" s="20">
        <f>Assumptions!$C$12</f>
        <v>30000</v>
      </c>
      <c r="K11" s="20">
        <f>Assumptions!$C$12</f>
        <v>30000</v>
      </c>
      <c r="L11" s="20">
        <f>Assumptions!$C$12</f>
        <v>30000</v>
      </c>
      <c r="M11" s="20">
        <f>Assumptions!$C$12</f>
        <v>30000</v>
      </c>
    </row>
    <row r="12" spans="2:13" s="2" customFormat="1" x14ac:dyDescent="0.3">
      <c r="B12" s="4" t="s">
        <v>34</v>
      </c>
      <c r="C12" s="20"/>
      <c r="D12" s="20">
        <f>Assumptions!$C$13</f>
        <v>2000</v>
      </c>
      <c r="E12" s="20">
        <f>Assumptions!$C$13</f>
        <v>2000</v>
      </c>
      <c r="F12" s="20">
        <f>Assumptions!$C$13</f>
        <v>2000</v>
      </c>
      <c r="G12" s="20">
        <f>Assumptions!$C$13</f>
        <v>2000</v>
      </c>
      <c r="H12" s="20">
        <f>Assumptions!$C$13</f>
        <v>2000</v>
      </c>
      <c r="I12" s="20">
        <f>Assumptions!$C$13</f>
        <v>2000</v>
      </c>
      <c r="J12" s="20">
        <f>Assumptions!$C$13</f>
        <v>2000</v>
      </c>
      <c r="K12" s="20">
        <f>Assumptions!$C$13</f>
        <v>2000</v>
      </c>
      <c r="L12" s="20">
        <f>Assumptions!$C$13</f>
        <v>2000</v>
      </c>
      <c r="M12" s="20">
        <f>Assumptions!$C$13</f>
        <v>2000</v>
      </c>
    </row>
    <row r="13" spans="2:13" s="2" customFormat="1" x14ac:dyDescent="0.3"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20">
        <f>Assumptions!$C$8</f>
        <v>15000</v>
      </c>
    </row>
    <row r="14" spans="2:13" s="2" customFormat="1" x14ac:dyDescent="0.3">
      <c r="B14" s="4" t="s">
        <v>36</v>
      </c>
      <c r="C14" s="20">
        <f t="shared" ref="C14:M14" si="2">SUM(C11:C13)</f>
        <v>0</v>
      </c>
      <c r="D14" s="20">
        <f t="shared" si="2"/>
        <v>32000</v>
      </c>
      <c r="E14" s="20">
        <f t="shared" si="2"/>
        <v>32000</v>
      </c>
      <c r="F14" s="20">
        <f t="shared" si="2"/>
        <v>32000</v>
      </c>
      <c r="G14" s="20">
        <f t="shared" si="2"/>
        <v>32000</v>
      </c>
      <c r="H14" s="20">
        <f t="shared" si="2"/>
        <v>32000</v>
      </c>
      <c r="I14" s="20">
        <f t="shared" si="2"/>
        <v>32000</v>
      </c>
      <c r="J14" s="20">
        <f t="shared" si="2"/>
        <v>32000</v>
      </c>
      <c r="K14" s="20">
        <f t="shared" si="2"/>
        <v>32000</v>
      </c>
      <c r="L14" s="20">
        <f t="shared" si="2"/>
        <v>32000</v>
      </c>
      <c r="M14" s="20">
        <f t="shared" si="2"/>
        <v>47000</v>
      </c>
    </row>
    <row r="15" spans="2:13" s="2" customFormat="1" ht="29.4" customHeight="1" x14ac:dyDescent="0.3">
      <c r="B15" s="26" t="s">
        <v>37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</row>
    <row r="16" spans="2:13" s="2" customFormat="1" x14ac:dyDescent="0.3">
      <c r="B16" s="4" t="s">
        <v>38</v>
      </c>
      <c r="C16" s="20">
        <f t="shared" ref="C16:M16" si="3">C14-C9</f>
        <v>-100000</v>
      </c>
      <c r="D16" s="20">
        <f t="shared" si="3"/>
        <v>29000</v>
      </c>
      <c r="E16" s="20">
        <f t="shared" si="3"/>
        <v>29000</v>
      </c>
      <c r="F16" s="20">
        <f t="shared" si="3"/>
        <v>29000</v>
      </c>
      <c r="G16" s="20">
        <f t="shared" si="3"/>
        <v>29000</v>
      </c>
      <c r="H16" s="20">
        <f t="shared" si="3"/>
        <v>29000</v>
      </c>
      <c r="I16" s="20">
        <f t="shared" si="3"/>
        <v>29000</v>
      </c>
      <c r="J16" s="20">
        <f t="shared" si="3"/>
        <v>29000</v>
      </c>
      <c r="K16" s="20">
        <f t="shared" si="3"/>
        <v>29000</v>
      </c>
      <c r="L16" s="20">
        <f t="shared" si="3"/>
        <v>29000</v>
      </c>
      <c r="M16" s="20">
        <f t="shared" si="3"/>
        <v>44000</v>
      </c>
    </row>
    <row r="17" spans="2:13" s="2" customFormat="1" x14ac:dyDescent="0.3">
      <c r="B17" s="4" t="s">
        <v>39</v>
      </c>
      <c r="C17" s="5">
        <v>1</v>
      </c>
      <c r="D17" s="21">
        <f>1/(1+Assumptions!$C$15)^D4</f>
        <v>0.95238095238095233</v>
      </c>
      <c r="E17" s="21">
        <f>1/(1+Assumptions!$C$15)^E4</f>
        <v>0.90702947845804982</v>
      </c>
      <c r="F17" s="21">
        <f>1/(1+Assumptions!$C$15)^F4</f>
        <v>0.86383759853147601</v>
      </c>
      <c r="G17" s="21">
        <f>1/(1+Assumptions!$C$15)^G4</f>
        <v>0.82270247479188197</v>
      </c>
      <c r="H17" s="21">
        <f>1/(1+Assumptions!$C$15)^H4</f>
        <v>0.78352616646845896</v>
      </c>
      <c r="I17" s="21">
        <f>1/(1+Assumptions!$C$15)^I4</f>
        <v>0.74621539663662761</v>
      </c>
      <c r="J17" s="21">
        <f>1/(1+Assumptions!$C$15)^J4</f>
        <v>0.71068133013012147</v>
      </c>
      <c r="K17" s="21">
        <f>1/(1+Assumptions!$C$15)^K4</f>
        <v>0.67683936202868722</v>
      </c>
      <c r="L17" s="21">
        <f>1/(1+Assumptions!$C$15)^L4</f>
        <v>0.64460891621779726</v>
      </c>
      <c r="M17" s="21">
        <f>1/(1+Assumptions!$C$15)^M4</f>
        <v>0.61391325354075932</v>
      </c>
    </row>
    <row r="18" spans="2:13" s="2" customFormat="1" x14ac:dyDescent="0.3">
      <c r="B18" s="4" t="s">
        <v>40</v>
      </c>
      <c r="C18" s="20">
        <f t="shared" ref="C18:M18" si="4">C16*C17</f>
        <v>-100000</v>
      </c>
      <c r="D18" s="20">
        <f t="shared" si="4"/>
        <v>27619.047619047618</v>
      </c>
      <c r="E18" s="20">
        <f t="shared" si="4"/>
        <v>26303.854875283443</v>
      </c>
      <c r="F18" s="20">
        <f t="shared" si="4"/>
        <v>25051.290357412803</v>
      </c>
      <c r="G18" s="20">
        <f t="shared" si="4"/>
        <v>23858.371768964578</v>
      </c>
      <c r="H18" s="20">
        <f t="shared" si="4"/>
        <v>22722.258827585309</v>
      </c>
      <c r="I18" s="20">
        <f t="shared" si="4"/>
        <v>21640.2465024622</v>
      </c>
      <c r="J18" s="20">
        <f t="shared" si="4"/>
        <v>20609.758573773524</v>
      </c>
      <c r="K18" s="20">
        <f t="shared" si="4"/>
        <v>19628.341498831931</v>
      </c>
      <c r="L18" s="20">
        <f t="shared" si="4"/>
        <v>18693.658570316122</v>
      </c>
      <c r="M18" s="20">
        <f t="shared" si="4"/>
        <v>27012.183155793409</v>
      </c>
    </row>
    <row r="19" spans="2:13" s="2" customFormat="1" x14ac:dyDescent="0.3">
      <c r="B19" s="4" t="s">
        <v>41</v>
      </c>
      <c r="C19" s="20">
        <f>C18</f>
        <v>-100000</v>
      </c>
      <c r="D19" s="20">
        <f t="shared" ref="D19:M19" si="5">C19+D18</f>
        <v>-72380.952380952382</v>
      </c>
      <c r="E19" s="20">
        <f t="shared" si="5"/>
        <v>-46077.097505668935</v>
      </c>
      <c r="F19" s="20">
        <f t="shared" si="5"/>
        <v>-21025.807148256132</v>
      </c>
      <c r="G19" s="20">
        <f t="shared" si="5"/>
        <v>2832.5646207084465</v>
      </c>
      <c r="H19" s="20">
        <f t="shared" si="5"/>
        <v>25554.823448293755</v>
      </c>
      <c r="I19" s="20">
        <f t="shared" si="5"/>
        <v>47195.069950755955</v>
      </c>
      <c r="J19" s="20">
        <f t="shared" si="5"/>
        <v>67804.828524529483</v>
      </c>
      <c r="K19" s="20">
        <f t="shared" si="5"/>
        <v>87433.17002336141</v>
      </c>
      <c r="L19" s="20">
        <f t="shared" si="5"/>
        <v>106126.82859367754</v>
      </c>
      <c r="M19" s="20">
        <f t="shared" si="5"/>
        <v>133139.01174947096</v>
      </c>
    </row>
    <row r="22" spans="2:13" s="22" customFormat="1" ht="28.2" customHeight="1" x14ac:dyDescent="0.3">
      <c r="B22" s="29" t="s">
        <v>46</v>
      </c>
      <c r="C22" s="29"/>
    </row>
    <row r="24" spans="2:13" x14ac:dyDescent="0.3">
      <c r="B24" s="14" t="s">
        <v>42</v>
      </c>
      <c r="C24" s="16">
        <f>SUM(C9:M9)</f>
        <v>130000</v>
      </c>
    </row>
    <row r="25" spans="2:13" x14ac:dyDescent="0.3">
      <c r="B25" s="14" t="s">
        <v>43</v>
      </c>
      <c r="C25" s="16">
        <f>SUM(C14:M14)</f>
        <v>335000</v>
      </c>
    </row>
    <row r="26" spans="2:13" x14ac:dyDescent="0.3">
      <c r="B26" s="14" t="s">
        <v>62</v>
      </c>
      <c r="C26" s="16">
        <f>M19</f>
        <v>133139.01174947096</v>
      </c>
    </row>
    <row r="27" spans="2:13" x14ac:dyDescent="0.3">
      <c r="B27" s="14" t="s">
        <v>63</v>
      </c>
      <c r="C27" s="17">
        <f>C25/C24</f>
        <v>2.5769230769230771</v>
      </c>
    </row>
    <row r="28" spans="2:13" x14ac:dyDescent="0.3">
      <c r="B28" s="14" t="s">
        <v>44</v>
      </c>
      <c r="C28" s="15">
        <v>7</v>
      </c>
    </row>
  </sheetData>
  <mergeCells count="5">
    <mergeCell ref="B2:M2"/>
    <mergeCell ref="B6:M6"/>
    <mergeCell ref="B10:M10"/>
    <mergeCell ref="B15:M15"/>
    <mergeCell ref="B22:C2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46D3-5428-4DB8-AA07-268520D08C53}">
  <sheetPr>
    <tabColor theme="9" tint="0.59999389629810485"/>
  </sheetPr>
  <dimension ref="B2:H10"/>
  <sheetViews>
    <sheetView tabSelected="1" zoomScale="115" zoomScaleNormal="115" workbookViewId="0">
      <selection activeCell="G5" sqref="G5"/>
    </sheetView>
  </sheetViews>
  <sheetFormatPr baseColWidth="10" defaultRowHeight="14.4" x14ac:dyDescent="0.3"/>
  <cols>
    <col min="1" max="1" width="3.77734375" customWidth="1"/>
    <col min="2" max="2" width="17.5546875" customWidth="1"/>
    <col min="3" max="3" width="18.5546875" bestFit="1" customWidth="1"/>
    <col min="5" max="7" width="11.5546875" style="13"/>
    <col min="8" max="8" width="16.33203125" style="13" bestFit="1" customWidth="1"/>
  </cols>
  <sheetData>
    <row r="2" spans="2:8" ht="21" x14ac:dyDescent="0.4">
      <c r="B2" s="30" t="s">
        <v>48</v>
      </c>
      <c r="C2" s="30"/>
      <c r="D2" s="30"/>
      <c r="E2" s="30"/>
      <c r="F2" s="30"/>
      <c r="G2" s="30"/>
      <c r="H2" s="30"/>
    </row>
    <row r="4" spans="2:8" x14ac:dyDescent="0.3">
      <c r="B4" s="14" t="s">
        <v>49</v>
      </c>
      <c r="C4" s="14" t="s">
        <v>50</v>
      </c>
      <c r="D4" s="23" t="s">
        <v>1</v>
      </c>
      <c r="E4" s="23" t="s">
        <v>2</v>
      </c>
      <c r="F4" s="23" t="s">
        <v>66</v>
      </c>
      <c r="G4" s="23" t="s">
        <v>65</v>
      </c>
      <c r="H4" s="23" t="s">
        <v>64</v>
      </c>
    </row>
    <row r="5" spans="2:8" x14ac:dyDescent="0.3">
      <c r="B5" s="15" t="s">
        <v>51</v>
      </c>
      <c r="C5" s="15" t="s">
        <v>61</v>
      </c>
      <c r="D5" s="15" t="s">
        <v>61</v>
      </c>
      <c r="E5" s="9" t="s">
        <v>61</v>
      </c>
      <c r="F5" s="11">
        <v>55921.662457622813</v>
      </c>
      <c r="G5" s="10">
        <v>1.81</v>
      </c>
      <c r="H5" s="9">
        <v>7</v>
      </c>
    </row>
    <row r="6" spans="2:8" x14ac:dyDescent="0.3">
      <c r="B6" s="15" t="s">
        <v>52</v>
      </c>
      <c r="C6" s="15" t="s">
        <v>53</v>
      </c>
      <c r="D6" s="16">
        <f>Assumptions!C12*1.5</f>
        <v>45000</v>
      </c>
      <c r="E6" s="9" t="s">
        <v>13</v>
      </c>
      <c r="F6" s="11">
        <v>133139.01174947096</v>
      </c>
      <c r="G6" s="9">
        <v>2.58</v>
      </c>
      <c r="H6" s="9">
        <v>4</v>
      </c>
    </row>
    <row r="7" spans="2:8" x14ac:dyDescent="0.3">
      <c r="B7" s="15" t="s">
        <v>54</v>
      </c>
      <c r="C7" s="15" t="s">
        <v>55</v>
      </c>
      <c r="D7" s="16">
        <f>Assumptions!C12*0.5</f>
        <v>15000</v>
      </c>
      <c r="E7" s="9" t="s">
        <v>13</v>
      </c>
      <c r="F7" s="11"/>
      <c r="G7" s="9"/>
      <c r="H7" s="9"/>
    </row>
    <row r="8" spans="2:8" x14ac:dyDescent="0.3">
      <c r="B8" s="15" t="s">
        <v>56</v>
      </c>
      <c r="C8" s="15" t="s">
        <v>57</v>
      </c>
      <c r="D8" s="15">
        <v>0.08</v>
      </c>
      <c r="E8" s="9" t="s">
        <v>21</v>
      </c>
      <c r="F8" s="11"/>
      <c r="G8" s="9"/>
      <c r="H8" s="9"/>
    </row>
    <row r="9" spans="2:8" x14ac:dyDescent="0.3">
      <c r="B9" s="15" t="s">
        <v>58</v>
      </c>
      <c r="C9" s="15" t="s">
        <v>59</v>
      </c>
      <c r="D9" s="15">
        <v>0.03</v>
      </c>
      <c r="E9" s="9" t="s">
        <v>21</v>
      </c>
      <c r="F9" s="11"/>
      <c r="G9" s="9"/>
      <c r="H9" s="9"/>
    </row>
    <row r="10" spans="2:8" x14ac:dyDescent="0.3">
      <c r="B10" s="5" t="s">
        <v>17</v>
      </c>
      <c r="C10" s="15" t="s">
        <v>60</v>
      </c>
      <c r="D10" s="15">
        <v>1000</v>
      </c>
      <c r="E10" s="9" t="s">
        <v>13</v>
      </c>
      <c r="F10" s="11"/>
      <c r="G10" s="9"/>
      <c r="H10" s="9"/>
    </row>
  </sheetData>
  <mergeCells count="1">
    <mergeCell ref="B2:H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9698-9201-4A98-A7C7-9A7DC812742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3A4B-F7EA-4994-AF2E-DFD08F280823}">
  <dimension ref="B2:E15"/>
  <sheetViews>
    <sheetView zoomScale="145" zoomScaleNormal="145" workbookViewId="0">
      <selection activeCell="H4" sqref="H4"/>
    </sheetView>
  </sheetViews>
  <sheetFormatPr baseColWidth="10" defaultRowHeight="14.4" x14ac:dyDescent="0.3"/>
  <cols>
    <col min="1" max="1" width="3.6640625" customWidth="1"/>
    <col min="2" max="2" width="20.33203125" bestFit="1" customWidth="1"/>
    <col min="3" max="3" width="13.33203125" bestFit="1" customWidth="1"/>
    <col min="5" max="5" width="27.33203125" style="1" bestFit="1" customWidth="1"/>
  </cols>
  <sheetData>
    <row r="2" spans="2:5" s="2" customFormat="1" x14ac:dyDescent="0.3">
      <c r="B2" s="24" t="s">
        <v>23</v>
      </c>
      <c r="C2" s="24"/>
      <c r="D2" s="24"/>
      <c r="E2" s="24"/>
    </row>
    <row r="3" spans="2:5" s="2" customFormat="1" x14ac:dyDescent="0.3">
      <c r="E3" s="3"/>
    </row>
    <row r="4" spans="2:5" s="2" customFormat="1" x14ac:dyDescent="0.3">
      <c r="B4" s="7" t="s">
        <v>0</v>
      </c>
      <c r="C4" s="7" t="s">
        <v>25</v>
      </c>
      <c r="D4" s="7" t="s">
        <v>2</v>
      </c>
      <c r="E4" s="8" t="s">
        <v>24</v>
      </c>
    </row>
    <row r="5" spans="2:5" s="2" customFormat="1" x14ac:dyDescent="0.3">
      <c r="B5" s="4" t="s">
        <v>3</v>
      </c>
      <c r="C5" s="9"/>
      <c r="D5" s="9"/>
      <c r="E5" s="6"/>
    </row>
    <row r="6" spans="2:5" s="2" customFormat="1" x14ac:dyDescent="0.3">
      <c r="B6" s="5" t="s">
        <v>4</v>
      </c>
      <c r="C6" s="11">
        <v>100000</v>
      </c>
      <c r="D6" s="9" t="s">
        <v>5</v>
      </c>
      <c r="E6" s="6" t="s">
        <v>6</v>
      </c>
    </row>
    <row r="7" spans="2:5" s="2" customFormat="1" x14ac:dyDescent="0.3">
      <c r="B7" s="5" t="s">
        <v>7</v>
      </c>
      <c r="C7" s="11">
        <v>10</v>
      </c>
      <c r="D7" s="9" t="s">
        <v>27</v>
      </c>
      <c r="E7" s="6" t="s">
        <v>8</v>
      </c>
    </row>
    <row r="8" spans="2:5" s="2" customFormat="1" x14ac:dyDescent="0.3">
      <c r="B8" s="5" t="s">
        <v>9</v>
      </c>
      <c r="C8" s="11">
        <v>15000</v>
      </c>
      <c r="D8" s="9" t="s">
        <v>5</v>
      </c>
      <c r="E8" s="6" t="s">
        <v>10</v>
      </c>
    </row>
    <row r="9" spans="2:5" s="2" customFormat="1" x14ac:dyDescent="0.3">
      <c r="B9" s="4" t="s">
        <v>11</v>
      </c>
      <c r="C9" s="11"/>
      <c r="D9" s="9"/>
      <c r="E9" s="6"/>
    </row>
    <row r="10" spans="2:5" s="2" customFormat="1" x14ac:dyDescent="0.3">
      <c r="B10" s="5" t="s">
        <v>12</v>
      </c>
      <c r="C10" s="11">
        <v>3000</v>
      </c>
      <c r="D10" s="9" t="s">
        <v>13</v>
      </c>
      <c r="E10" s="6" t="s">
        <v>14</v>
      </c>
    </row>
    <row r="11" spans="2:5" s="2" customFormat="1" x14ac:dyDescent="0.3">
      <c r="B11" s="4" t="s">
        <v>15</v>
      </c>
      <c r="C11" s="11"/>
      <c r="D11" s="9"/>
      <c r="E11" s="6"/>
    </row>
    <row r="12" spans="2:5" s="2" customFormat="1" ht="28.8" x14ac:dyDescent="0.3">
      <c r="B12" s="5" t="s">
        <v>16</v>
      </c>
      <c r="C12" s="11">
        <v>20000</v>
      </c>
      <c r="D12" s="9" t="s">
        <v>13</v>
      </c>
      <c r="E12" s="6" t="s">
        <v>26</v>
      </c>
    </row>
    <row r="13" spans="2:5" s="2" customFormat="1" x14ac:dyDescent="0.3">
      <c r="B13" s="5" t="s">
        <v>17</v>
      </c>
      <c r="C13" s="11">
        <v>2000</v>
      </c>
      <c r="D13" s="9" t="s">
        <v>13</v>
      </c>
      <c r="E13" s="6" t="s">
        <v>18</v>
      </c>
    </row>
    <row r="14" spans="2:5" s="2" customFormat="1" x14ac:dyDescent="0.3">
      <c r="B14" s="4" t="s">
        <v>19</v>
      </c>
      <c r="C14" s="11"/>
      <c r="D14" s="9"/>
      <c r="E14" s="6"/>
    </row>
    <row r="15" spans="2:5" s="2" customFormat="1" x14ac:dyDescent="0.3">
      <c r="B15" s="5" t="s">
        <v>20</v>
      </c>
      <c r="C15" s="12">
        <v>0.05</v>
      </c>
      <c r="D15" s="9" t="s">
        <v>21</v>
      </c>
      <c r="E15" s="6" t="s">
        <v>22</v>
      </c>
    </row>
  </sheetData>
  <mergeCells count="1">
    <mergeCell ref="B2:E2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149D-93FF-42EF-A21E-9C889E547511}">
  <dimension ref="B2:M28"/>
  <sheetViews>
    <sheetView zoomScale="85" zoomScaleNormal="85" workbookViewId="0">
      <selection activeCell="C27" sqref="C27"/>
    </sheetView>
  </sheetViews>
  <sheetFormatPr baseColWidth="10" defaultRowHeight="14.4" x14ac:dyDescent="0.3"/>
  <cols>
    <col min="2" max="2" width="35.109375" bestFit="1" customWidth="1"/>
  </cols>
  <sheetData>
    <row r="2" spans="2:13" s="2" customFormat="1" ht="27.6" customHeight="1" x14ac:dyDescent="0.3">
      <c r="B2" s="25" t="s">
        <v>47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4" spans="2:13" x14ac:dyDescent="0.3">
      <c r="C4" s="13">
        <v>0</v>
      </c>
      <c r="D4" s="13">
        <v>1</v>
      </c>
      <c r="E4" s="13">
        <v>2</v>
      </c>
      <c r="F4" s="13">
        <v>3</v>
      </c>
      <c r="G4" s="13">
        <v>4</v>
      </c>
      <c r="H4" s="13">
        <v>5</v>
      </c>
      <c r="I4" s="13">
        <v>6</v>
      </c>
      <c r="J4" s="13">
        <v>7</v>
      </c>
      <c r="K4" s="13">
        <v>8</v>
      </c>
      <c r="L4" s="13">
        <v>9</v>
      </c>
      <c r="M4" s="13">
        <v>10</v>
      </c>
    </row>
    <row r="5" spans="2:13" x14ac:dyDescent="0.3">
      <c r="B5" s="18" t="s">
        <v>45</v>
      </c>
      <c r="C5" s="19" t="str">
        <f>"Year " &amp;C4</f>
        <v>Year 0</v>
      </c>
      <c r="D5" s="19" t="str">
        <f t="shared" ref="D5:M5" si="0">"Year " &amp;D4</f>
        <v>Year 1</v>
      </c>
      <c r="E5" s="19" t="str">
        <f t="shared" si="0"/>
        <v>Year 2</v>
      </c>
      <c r="F5" s="19" t="str">
        <f t="shared" si="0"/>
        <v>Year 3</v>
      </c>
      <c r="G5" s="19" t="str">
        <f t="shared" si="0"/>
        <v>Year 4</v>
      </c>
      <c r="H5" s="19" t="str">
        <f t="shared" si="0"/>
        <v>Year 5</v>
      </c>
      <c r="I5" s="19" t="str">
        <f t="shared" si="0"/>
        <v>Year 6</v>
      </c>
      <c r="J5" s="19" t="str">
        <f t="shared" si="0"/>
        <v>Year 7</v>
      </c>
      <c r="K5" s="19" t="str">
        <f t="shared" si="0"/>
        <v>Year 8</v>
      </c>
      <c r="L5" s="19" t="str">
        <f t="shared" si="0"/>
        <v>Year 9</v>
      </c>
      <c r="M5" s="19" t="str">
        <f t="shared" si="0"/>
        <v>Year 10</v>
      </c>
    </row>
    <row r="6" spans="2:13" s="2" customFormat="1" ht="27.6" customHeight="1" x14ac:dyDescent="0.3">
      <c r="B6" s="26" t="s">
        <v>32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2:13" s="2" customFormat="1" x14ac:dyDescent="0.3">
      <c r="B7" s="4" t="s">
        <v>28</v>
      </c>
      <c r="C7" s="20">
        <f>-'complete Assumptions'!C6</f>
        <v>-100000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2:13" s="2" customFormat="1" x14ac:dyDescent="0.3">
      <c r="B8" s="4" t="s">
        <v>29</v>
      </c>
      <c r="C8" s="5"/>
      <c r="D8" s="20">
        <f>-'complete Assumptions'!$C$10</f>
        <v>-3000</v>
      </c>
      <c r="E8" s="20">
        <f>-'complete Assumptions'!$C$10</f>
        <v>-3000</v>
      </c>
      <c r="F8" s="20">
        <f>-'complete Assumptions'!$C$10</f>
        <v>-3000</v>
      </c>
      <c r="G8" s="20">
        <f>-'complete Assumptions'!$C$10</f>
        <v>-3000</v>
      </c>
      <c r="H8" s="20">
        <f>-'complete Assumptions'!$C$10</f>
        <v>-3000</v>
      </c>
      <c r="I8" s="20">
        <f>-'complete Assumptions'!$C$10</f>
        <v>-3000</v>
      </c>
      <c r="J8" s="20">
        <f>-'complete Assumptions'!$C$10</f>
        <v>-3000</v>
      </c>
      <c r="K8" s="20">
        <f>-'complete Assumptions'!$C$10</f>
        <v>-3000</v>
      </c>
      <c r="L8" s="20">
        <f>-'complete Assumptions'!$C$10</f>
        <v>-3000</v>
      </c>
      <c r="M8" s="20">
        <f>-'complete Assumptions'!$C$10</f>
        <v>-3000</v>
      </c>
    </row>
    <row r="9" spans="2:13" s="2" customFormat="1" x14ac:dyDescent="0.3">
      <c r="B9" s="4" t="s">
        <v>30</v>
      </c>
      <c r="C9" s="20">
        <f t="shared" ref="C9:M9" si="1">SUM(C7:C8)</f>
        <v>-100000</v>
      </c>
      <c r="D9" s="20">
        <f t="shared" si="1"/>
        <v>-3000</v>
      </c>
      <c r="E9" s="20">
        <f t="shared" si="1"/>
        <v>-3000</v>
      </c>
      <c r="F9" s="20">
        <f t="shared" si="1"/>
        <v>-3000</v>
      </c>
      <c r="G9" s="20">
        <f t="shared" si="1"/>
        <v>-3000</v>
      </c>
      <c r="H9" s="20">
        <f t="shared" si="1"/>
        <v>-3000</v>
      </c>
      <c r="I9" s="20">
        <f t="shared" si="1"/>
        <v>-3000</v>
      </c>
      <c r="J9" s="20">
        <f t="shared" si="1"/>
        <v>-3000</v>
      </c>
      <c r="K9" s="20">
        <f t="shared" si="1"/>
        <v>-3000</v>
      </c>
      <c r="L9" s="20">
        <f t="shared" si="1"/>
        <v>-3000</v>
      </c>
      <c r="M9" s="20">
        <f t="shared" si="1"/>
        <v>-3000</v>
      </c>
    </row>
    <row r="10" spans="2:13" s="2" customFormat="1" ht="31.8" customHeight="1" x14ac:dyDescent="0.3">
      <c r="B10" s="26" t="s">
        <v>31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</row>
    <row r="11" spans="2:13" s="2" customFormat="1" x14ac:dyDescent="0.3">
      <c r="B11" s="4" t="s">
        <v>33</v>
      </c>
      <c r="C11" s="5"/>
      <c r="D11" s="20">
        <f>'complete Assumptions'!$C$12</f>
        <v>20000</v>
      </c>
      <c r="E11" s="20">
        <f>'complete Assumptions'!$C$12</f>
        <v>20000</v>
      </c>
      <c r="F11" s="20">
        <f>'complete Assumptions'!$C$12</f>
        <v>20000</v>
      </c>
      <c r="G11" s="20">
        <f>'complete Assumptions'!$C$12</f>
        <v>20000</v>
      </c>
      <c r="H11" s="20">
        <f>'complete Assumptions'!$C$12</f>
        <v>20000</v>
      </c>
      <c r="I11" s="20">
        <f>'complete Assumptions'!$C$12</f>
        <v>20000</v>
      </c>
      <c r="J11" s="20">
        <f>'complete Assumptions'!$C$12</f>
        <v>20000</v>
      </c>
      <c r="K11" s="20">
        <f>'complete Assumptions'!$C$12</f>
        <v>20000</v>
      </c>
      <c r="L11" s="20">
        <f>'complete Assumptions'!$C$12</f>
        <v>20000</v>
      </c>
      <c r="M11" s="20">
        <f>'complete Assumptions'!$C$12</f>
        <v>20000</v>
      </c>
    </row>
    <row r="12" spans="2:13" s="2" customFormat="1" x14ac:dyDescent="0.3">
      <c r="B12" s="4" t="s">
        <v>34</v>
      </c>
      <c r="C12" s="5"/>
      <c r="D12" s="20">
        <f>'complete Assumptions'!$C$13</f>
        <v>2000</v>
      </c>
      <c r="E12" s="20">
        <f>'complete Assumptions'!$C$13</f>
        <v>2000</v>
      </c>
      <c r="F12" s="20">
        <f>'complete Assumptions'!$C$13</f>
        <v>2000</v>
      </c>
      <c r="G12" s="20">
        <f>'complete Assumptions'!$C$13</f>
        <v>2000</v>
      </c>
      <c r="H12" s="20">
        <f>'complete Assumptions'!$C$13</f>
        <v>2000</v>
      </c>
      <c r="I12" s="20">
        <f>'complete Assumptions'!$C$13</f>
        <v>2000</v>
      </c>
      <c r="J12" s="20">
        <f>'complete Assumptions'!$C$13</f>
        <v>2000</v>
      </c>
      <c r="K12" s="20">
        <f>'complete Assumptions'!$C$13</f>
        <v>2000</v>
      </c>
      <c r="L12" s="20">
        <f>'complete Assumptions'!$C$13</f>
        <v>2000</v>
      </c>
      <c r="M12" s="20">
        <f>'complete Assumptions'!$C$13</f>
        <v>2000</v>
      </c>
    </row>
    <row r="13" spans="2:13" s="2" customFormat="1" x14ac:dyDescent="0.3"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20">
        <f>'complete Assumptions'!$C$8</f>
        <v>15000</v>
      </c>
    </row>
    <row r="14" spans="2:13" s="2" customFormat="1" x14ac:dyDescent="0.3">
      <c r="B14" s="4" t="s">
        <v>36</v>
      </c>
      <c r="C14" s="5">
        <f t="shared" ref="C14:M14" si="2">SUM(C10:C13)</f>
        <v>0</v>
      </c>
      <c r="D14" s="5">
        <f t="shared" si="2"/>
        <v>22000</v>
      </c>
      <c r="E14" s="5">
        <f t="shared" si="2"/>
        <v>22000</v>
      </c>
      <c r="F14" s="5">
        <f t="shared" si="2"/>
        <v>22000</v>
      </c>
      <c r="G14" s="5">
        <f t="shared" si="2"/>
        <v>22000</v>
      </c>
      <c r="H14" s="5">
        <f t="shared" si="2"/>
        <v>22000</v>
      </c>
      <c r="I14" s="5">
        <f t="shared" si="2"/>
        <v>22000</v>
      </c>
      <c r="J14" s="5">
        <f t="shared" si="2"/>
        <v>22000</v>
      </c>
      <c r="K14" s="5">
        <f t="shared" si="2"/>
        <v>22000</v>
      </c>
      <c r="L14" s="5">
        <f t="shared" si="2"/>
        <v>22000</v>
      </c>
      <c r="M14" s="5">
        <f t="shared" si="2"/>
        <v>37000</v>
      </c>
    </row>
    <row r="15" spans="2:13" s="2" customFormat="1" ht="29.4" customHeight="1" x14ac:dyDescent="0.3">
      <c r="B15" s="26" t="s">
        <v>37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</row>
    <row r="16" spans="2:13" s="2" customFormat="1" x14ac:dyDescent="0.3">
      <c r="B16" s="4" t="s">
        <v>38</v>
      </c>
      <c r="C16" s="20">
        <f>C14+C9</f>
        <v>-100000</v>
      </c>
      <c r="D16" s="20">
        <f t="shared" ref="D16:M16" si="3">D14+D9</f>
        <v>19000</v>
      </c>
      <c r="E16" s="20">
        <f t="shared" si="3"/>
        <v>19000</v>
      </c>
      <c r="F16" s="20">
        <f t="shared" si="3"/>
        <v>19000</v>
      </c>
      <c r="G16" s="20">
        <f t="shared" si="3"/>
        <v>19000</v>
      </c>
      <c r="H16" s="20">
        <f t="shared" si="3"/>
        <v>19000</v>
      </c>
      <c r="I16" s="20">
        <f t="shared" si="3"/>
        <v>19000</v>
      </c>
      <c r="J16" s="20">
        <f t="shared" si="3"/>
        <v>19000</v>
      </c>
      <c r="K16" s="20">
        <f t="shared" si="3"/>
        <v>19000</v>
      </c>
      <c r="L16" s="20">
        <f t="shared" si="3"/>
        <v>19000</v>
      </c>
      <c r="M16" s="20">
        <f t="shared" si="3"/>
        <v>34000</v>
      </c>
    </row>
    <row r="17" spans="2:13" s="2" customFormat="1" x14ac:dyDescent="0.3">
      <c r="B17" s="4" t="s">
        <v>39</v>
      </c>
      <c r="C17" s="5">
        <v>1</v>
      </c>
      <c r="D17" s="21">
        <f>1/(1+'complete Assumptions'!$C$15)^D4</f>
        <v>0.95238095238095233</v>
      </c>
      <c r="E17" s="21">
        <f>1/(1+'complete Assumptions'!$C$15)^E4</f>
        <v>0.90702947845804982</v>
      </c>
      <c r="F17" s="21">
        <f>1/(1+'complete Assumptions'!$C$15)^F4</f>
        <v>0.86383759853147601</v>
      </c>
      <c r="G17" s="21">
        <f>1/(1+'complete Assumptions'!$C$15)^G4</f>
        <v>0.82270247479188197</v>
      </c>
      <c r="H17" s="21">
        <f>1/(1+'complete Assumptions'!$C$15)^H4</f>
        <v>0.78352616646845896</v>
      </c>
      <c r="I17" s="21">
        <f>1/(1+'complete Assumptions'!$C$15)^I4</f>
        <v>0.74621539663662761</v>
      </c>
      <c r="J17" s="21">
        <f>1/(1+'complete Assumptions'!$C$15)^J4</f>
        <v>0.71068133013012147</v>
      </c>
      <c r="K17" s="21">
        <f>1/(1+'complete Assumptions'!$C$15)^K4</f>
        <v>0.67683936202868722</v>
      </c>
      <c r="L17" s="21">
        <f>1/(1+'complete Assumptions'!$C$15)^L4</f>
        <v>0.64460891621779726</v>
      </c>
      <c r="M17" s="21">
        <f>1/(1+'complete Assumptions'!$C$15)^M4</f>
        <v>0.61391325354075932</v>
      </c>
    </row>
    <row r="18" spans="2:13" s="2" customFormat="1" x14ac:dyDescent="0.3">
      <c r="B18" s="4" t="s">
        <v>40</v>
      </c>
      <c r="C18" s="20">
        <f t="shared" ref="C18:M18" si="4">C16*C17</f>
        <v>-100000</v>
      </c>
      <c r="D18" s="20">
        <f t="shared" si="4"/>
        <v>18095.238095238095</v>
      </c>
      <c r="E18" s="20">
        <f t="shared" si="4"/>
        <v>17233.560090702947</v>
      </c>
      <c r="F18" s="20">
        <f t="shared" si="4"/>
        <v>16412.914372098043</v>
      </c>
      <c r="G18" s="20">
        <f t="shared" si="4"/>
        <v>15631.347021045758</v>
      </c>
      <c r="H18" s="20">
        <f t="shared" si="4"/>
        <v>14886.99716290072</v>
      </c>
      <c r="I18" s="20">
        <f t="shared" si="4"/>
        <v>14178.092536095925</v>
      </c>
      <c r="J18" s="20">
        <f t="shared" si="4"/>
        <v>13502.945272472309</v>
      </c>
      <c r="K18" s="20">
        <f t="shared" si="4"/>
        <v>12859.947878545057</v>
      </c>
      <c r="L18" s="20">
        <f t="shared" si="4"/>
        <v>12247.569408138148</v>
      </c>
      <c r="M18" s="20">
        <f t="shared" si="4"/>
        <v>20873.050620385817</v>
      </c>
    </row>
    <row r="19" spans="2:13" s="2" customFormat="1" x14ac:dyDescent="0.3">
      <c r="B19" s="4" t="s">
        <v>41</v>
      </c>
      <c r="C19" s="20">
        <f>C18</f>
        <v>-100000</v>
      </c>
      <c r="D19" s="20">
        <f t="shared" ref="D19:M19" si="5">C19+D18</f>
        <v>-81904.761904761908</v>
      </c>
      <c r="E19" s="20">
        <f t="shared" si="5"/>
        <v>-64671.201814058964</v>
      </c>
      <c r="F19" s="20">
        <f t="shared" si="5"/>
        <v>-48258.287441960922</v>
      </c>
      <c r="G19" s="20">
        <f t="shared" si="5"/>
        <v>-32626.940420915162</v>
      </c>
      <c r="H19" s="20">
        <f t="shared" si="5"/>
        <v>-17739.943258014442</v>
      </c>
      <c r="I19" s="20">
        <f t="shared" si="5"/>
        <v>-3561.8507219185176</v>
      </c>
      <c r="J19" s="20">
        <f t="shared" si="5"/>
        <v>9941.0945505537911</v>
      </c>
      <c r="K19" s="20">
        <f t="shared" si="5"/>
        <v>22801.042429098849</v>
      </c>
      <c r="L19" s="20">
        <f t="shared" si="5"/>
        <v>35048.611837236997</v>
      </c>
      <c r="M19" s="20">
        <f t="shared" si="5"/>
        <v>55921.662457622813</v>
      </c>
    </row>
    <row r="22" spans="2:13" s="22" customFormat="1" ht="28.2" customHeight="1" x14ac:dyDescent="0.3">
      <c r="B22" s="29" t="s">
        <v>46</v>
      </c>
      <c r="C22" s="29"/>
    </row>
    <row r="24" spans="2:13" x14ac:dyDescent="0.3">
      <c r="B24" s="14" t="s">
        <v>42</v>
      </c>
      <c r="C24" s="16">
        <f>SUM(C9:M9)</f>
        <v>-130000</v>
      </c>
    </row>
    <row r="25" spans="2:13" x14ac:dyDescent="0.3">
      <c r="B25" s="14" t="s">
        <v>43</v>
      </c>
      <c r="C25" s="16">
        <f>SUM(C14:M14)</f>
        <v>235000</v>
      </c>
    </row>
    <row r="26" spans="2:13" x14ac:dyDescent="0.3">
      <c r="B26" s="14" t="s">
        <v>62</v>
      </c>
      <c r="C26" s="16">
        <f>M19</f>
        <v>55921.662457622813</v>
      </c>
    </row>
    <row r="27" spans="2:13" x14ac:dyDescent="0.3">
      <c r="B27" s="14" t="s">
        <v>63</v>
      </c>
      <c r="C27" s="17">
        <f>-1*(C25/C24)</f>
        <v>1.8076923076923077</v>
      </c>
    </row>
    <row r="28" spans="2:13" x14ac:dyDescent="0.3">
      <c r="B28" s="14" t="s">
        <v>44</v>
      </c>
      <c r="C28" s="15">
        <v>7</v>
      </c>
    </row>
  </sheetData>
  <mergeCells count="5">
    <mergeCell ref="B10:M10"/>
    <mergeCell ref="B6:M6"/>
    <mergeCell ref="B15:M15"/>
    <mergeCell ref="B22:C22"/>
    <mergeCell ref="B2:M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8B5C-A66C-4C78-9037-930E0564459A}">
  <dimension ref="B2:H10"/>
  <sheetViews>
    <sheetView zoomScale="115" zoomScaleNormal="115" workbookViewId="0">
      <selection activeCell="E31" sqref="E31"/>
    </sheetView>
  </sheetViews>
  <sheetFormatPr baseColWidth="10" defaultRowHeight="14.4" x14ac:dyDescent="0.3"/>
  <cols>
    <col min="1" max="1" width="3.77734375" customWidth="1"/>
    <col min="2" max="2" width="17.5546875" customWidth="1"/>
    <col min="3" max="3" width="18.5546875" bestFit="1" customWidth="1"/>
    <col min="5" max="7" width="11.5546875" style="13"/>
    <col min="8" max="8" width="16.33203125" style="13" bestFit="1" customWidth="1"/>
  </cols>
  <sheetData>
    <row r="2" spans="2:8" ht="21" x14ac:dyDescent="0.4">
      <c r="B2" s="30" t="s">
        <v>48</v>
      </c>
      <c r="C2" s="30"/>
      <c r="D2" s="30"/>
      <c r="E2" s="30"/>
      <c r="F2" s="30"/>
      <c r="G2" s="30"/>
      <c r="H2" s="30"/>
    </row>
    <row r="4" spans="2:8" x14ac:dyDescent="0.3">
      <c r="B4" s="14" t="s">
        <v>49</v>
      </c>
      <c r="C4" s="14" t="s">
        <v>50</v>
      </c>
      <c r="D4" s="23" t="s">
        <v>1</v>
      </c>
      <c r="E4" s="23" t="s">
        <v>2</v>
      </c>
      <c r="F4" s="23" t="s">
        <v>66</v>
      </c>
      <c r="G4" s="23" t="s">
        <v>65</v>
      </c>
      <c r="H4" s="23" t="s">
        <v>64</v>
      </c>
    </row>
    <row r="5" spans="2:8" x14ac:dyDescent="0.3">
      <c r="B5" s="15" t="s">
        <v>51</v>
      </c>
      <c r="C5" s="15" t="s">
        <v>61</v>
      </c>
      <c r="D5" s="15" t="s">
        <v>61</v>
      </c>
      <c r="E5" s="9" t="s">
        <v>61</v>
      </c>
      <c r="F5" s="11">
        <v>55921.662457622813</v>
      </c>
      <c r="G5" s="10">
        <v>1.8076923076923077</v>
      </c>
      <c r="H5" s="9">
        <v>7</v>
      </c>
    </row>
    <row r="6" spans="2:8" x14ac:dyDescent="0.3">
      <c r="B6" s="15" t="s">
        <v>52</v>
      </c>
      <c r="C6" s="15" t="s">
        <v>53</v>
      </c>
      <c r="D6" s="16">
        <f>'complete Assumptions'!C12*1.5</f>
        <v>30000</v>
      </c>
      <c r="E6" s="9" t="s">
        <v>13</v>
      </c>
      <c r="F6" s="11"/>
      <c r="G6" s="9"/>
      <c r="H6" s="9"/>
    </row>
    <row r="7" spans="2:8" x14ac:dyDescent="0.3">
      <c r="B7" s="15" t="s">
        <v>54</v>
      </c>
      <c r="C7" s="15" t="s">
        <v>55</v>
      </c>
      <c r="D7" s="16">
        <f>'complete Assumptions'!C12*0.5</f>
        <v>10000</v>
      </c>
      <c r="E7" s="9" t="s">
        <v>13</v>
      </c>
      <c r="F7" s="11"/>
      <c r="G7" s="9"/>
      <c r="H7" s="9"/>
    </row>
    <row r="8" spans="2:8" x14ac:dyDescent="0.3">
      <c r="B8" s="15" t="s">
        <v>56</v>
      </c>
      <c r="C8" s="15" t="s">
        <v>57</v>
      </c>
      <c r="D8" s="15">
        <v>0.08</v>
      </c>
      <c r="E8" s="9" t="s">
        <v>21</v>
      </c>
      <c r="F8" s="11"/>
      <c r="G8" s="9"/>
      <c r="H8" s="9"/>
    </row>
    <row r="9" spans="2:8" x14ac:dyDescent="0.3">
      <c r="B9" s="15" t="s">
        <v>58</v>
      </c>
      <c r="C9" s="15" t="s">
        <v>59</v>
      </c>
      <c r="D9" s="15">
        <v>0.03</v>
      </c>
      <c r="E9" s="9" t="s">
        <v>21</v>
      </c>
      <c r="F9" s="11"/>
      <c r="G9" s="9"/>
      <c r="H9" s="9"/>
    </row>
    <row r="10" spans="2:8" x14ac:dyDescent="0.3">
      <c r="B10" s="5" t="s">
        <v>17</v>
      </c>
      <c r="C10" s="15" t="s">
        <v>60</v>
      </c>
      <c r="D10" s="15">
        <v>1000</v>
      </c>
      <c r="E10" s="9" t="s">
        <v>13</v>
      </c>
      <c r="F10" s="11"/>
      <c r="G10" s="9"/>
      <c r="H10" s="9"/>
    </row>
  </sheetData>
  <mergeCells count="1">
    <mergeCell ref="B2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Assumptions</vt:lpstr>
      <vt:lpstr>CBA</vt:lpstr>
      <vt:lpstr>Sensitivity Analysis</vt:lpstr>
      <vt:lpstr>###</vt:lpstr>
      <vt:lpstr>complete Assumptions</vt:lpstr>
      <vt:lpstr>complete CBA</vt:lpstr>
      <vt:lpstr>complete 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Michael Höferl</dc:creator>
  <cp:lastModifiedBy>Karl Michael Höferl</cp:lastModifiedBy>
  <dcterms:created xsi:type="dcterms:W3CDTF">2026-04-13T11:44:22Z</dcterms:created>
  <dcterms:modified xsi:type="dcterms:W3CDTF">2026-05-02T10:27:52Z</dcterms:modified>
</cp:coreProperties>
</file>