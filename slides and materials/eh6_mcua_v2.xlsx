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imcfhkrems-my.sharepoint.com/personal/karl_hoeferl_fh-krems_ac_at/Documents/Dokumente/2___Lehre/SS 26/Data and Decision Making/"/>
    </mc:Choice>
  </mc:AlternateContent>
  <xr:revisionPtr revIDLastSave="6" documentId="13_ncr:1_{38EB48CF-806A-4682-8DA1-29255C88DD06}" xr6:coauthVersionLast="47" xr6:coauthVersionMax="47" xr10:uidLastSave="{560834F6-CF0A-454B-B0B9-AA11517B71F1}"/>
  <bookViews>
    <workbookView xWindow="-108" yWindow="-108" windowWidth="30936" windowHeight="17496" tabRatio="500" activeTab="2" xr2:uid="{00000000-000D-0000-FFFF-FFFF00000000}"/>
  </bookViews>
  <sheets>
    <sheet name="Discrete Utility Functions" sheetId="1" r:id="rId1"/>
    <sheet name="Continuous Utility Functions" sheetId="2" r:id="rId2"/>
    <sheet name="MCUA" sheetId="3" r:id="rId3"/>
    <sheet name="Example Data Table" sheetId="6" r:id="rId4"/>
    <sheet name="MCUA Scenarios" sheetId="4" r:id="rId5"/>
  </sheets>
  <definedNames>
    <definedName name="lut_disruption">'Discrete Utility Functions'!$C$21:$D$29</definedName>
    <definedName name="lut_energy">'Discrete Utility Functions'!$B$7:$D$15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1" i="6" l="1"/>
  <c r="J11" i="6"/>
  <c r="K11" i="6"/>
  <c r="L11" i="6"/>
  <c r="M11" i="6"/>
  <c r="N11" i="6"/>
  <c r="O11" i="6"/>
  <c r="P11" i="6"/>
  <c r="Q11" i="6"/>
  <c r="R11" i="6"/>
  <c r="S11" i="6"/>
  <c r="T11" i="6"/>
  <c r="K18" i="4"/>
  <c r="L18" i="4"/>
  <c r="M18" i="4"/>
  <c r="L17" i="4"/>
  <c r="M17" i="4"/>
  <c r="K17" i="4"/>
  <c r="K6" i="4"/>
  <c r="L6" i="4"/>
  <c r="M6" i="4"/>
  <c r="K7" i="4"/>
  <c r="L7" i="4"/>
  <c r="M7" i="4"/>
  <c r="K8" i="4"/>
  <c r="L8" i="4"/>
  <c r="M8" i="4"/>
  <c r="K9" i="4"/>
  <c r="L9" i="4"/>
  <c r="M9" i="4"/>
  <c r="K10" i="4"/>
  <c r="L10" i="4"/>
  <c r="M10" i="4"/>
  <c r="K11" i="4"/>
  <c r="L11" i="4"/>
  <c r="M11" i="4"/>
  <c r="K12" i="4"/>
  <c r="L12" i="4"/>
  <c r="M12" i="4"/>
  <c r="K13" i="4"/>
  <c r="L13" i="4"/>
  <c r="M13" i="4"/>
  <c r="K14" i="4"/>
  <c r="L14" i="4"/>
  <c r="M14" i="4"/>
  <c r="K15" i="4"/>
  <c r="L15" i="4"/>
  <c r="M15" i="4"/>
  <c r="L5" i="4"/>
  <c r="M5" i="4"/>
  <c r="K5" i="4"/>
  <c r="J5" i="4"/>
  <c r="J6" i="4"/>
  <c r="J7" i="4"/>
  <c r="J8" i="4"/>
  <c r="J9" i="4"/>
  <c r="J10" i="4"/>
  <c r="J11" i="4"/>
  <c r="J12" i="4"/>
  <c r="J13" i="4"/>
  <c r="J14" i="4"/>
  <c r="J15" i="4"/>
  <c r="I5" i="4"/>
  <c r="I6" i="4"/>
  <c r="I7" i="4"/>
  <c r="I8" i="4"/>
  <c r="I9" i="4"/>
  <c r="I10" i="4"/>
  <c r="I11" i="4"/>
  <c r="I12" i="4"/>
  <c r="I13" i="4"/>
  <c r="I14" i="4"/>
  <c r="I15" i="4"/>
  <c r="H5" i="4"/>
  <c r="H6" i="4"/>
  <c r="H7" i="4"/>
  <c r="H8" i="4"/>
  <c r="H9" i="4"/>
  <c r="H10" i="4"/>
  <c r="H11" i="4"/>
  <c r="H12" i="4"/>
  <c r="H13" i="4"/>
  <c r="H14" i="4"/>
  <c r="H15" i="4"/>
  <c r="G5" i="4"/>
  <c r="G6" i="4"/>
  <c r="G7" i="4"/>
  <c r="G8" i="4"/>
  <c r="G9" i="4"/>
  <c r="G10" i="4"/>
  <c r="G11" i="4"/>
  <c r="G12" i="4"/>
  <c r="G13" i="4"/>
  <c r="G14" i="4"/>
  <c r="G15" i="4"/>
  <c r="D7" i="6"/>
  <c r="D10" i="6" l="1"/>
  <c r="C24" i="3"/>
  <c r="F21" i="3"/>
  <c r="E21" i="3"/>
  <c r="D21" i="3"/>
  <c r="F16" i="3"/>
  <c r="F23" i="3" s="1"/>
  <c r="E16" i="3"/>
  <c r="E23" i="3" s="1"/>
  <c r="F15" i="3"/>
  <c r="F22" i="3" s="1"/>
  <c r="E15" i="3"/>
  <c r="D15" i="3"/>
  <c r="F14" i="3"/>
  <c r="E14" i="3"/>
  <c r="D14" i="3"/>
  <c r="D9" i="3"/>
  <c r="D16" i="3" s="1"/>
  <c r="D23" i="3" s="1"/>
  <c r="E32" i="2"/>
  <c r="D32" i="2"/>
  <c r="C32" i="2"/>
  <c r="E31" i="2"/>
  <c r="D31" i="2"/>
  <c r="C31" i="2"/>
  <c r="E30" i="2"/>
  <c r="D30" i="2"/>
  <c r="C30" i="2"/>
  <c r="E29" i="2"/>
  <c r="D29" i="2"/>
  <c r="C29" i="2"/>
  <c r="E28" i="2"/>
  <c r="D28" i="2"/>
  <c r="C28" i="2"/>
  <c r="E27" i="2"/>
  <c r="D27" i="2"/>
  <c r="C27" i="2"/>
  <c r="E26" i="2"/>
  <c r="D26" i="2"/>
  <c r="C26" i="2"/>
  <c r="E25" i="2"/>
  <c r="D25" i="2"/>
  <c r="C25" i="2"/>
  <c r="E24" i="2"/>
  <c r="D24" i="2"/>
  <c r="C24" i="2"/>
  <c r="E23" i="2"/>
  <c r="D23" i="2"/>
  <c r="C23" i="2"/>
  <c r="E22" i="2"/>
  <c r="D22" i="2"/>
  <c r="C22" i="2"/>
  <c r="E21" i="2"/>
  <c r="D21" i="2"/>
  <c r="C21" i="2"/>
  <c r="E20" i="2"/>
  <c r="D20" i="2"/>
  <c r="C20" i="2"/>
  <c r="E19" i="2"/>
  <c r="D19" i="2"/>
  <c r="C19" i="2"/>
  <c r="E18" i="2"/>
  <c r="D18" i="2"/>
  <c r="C18" i="2"/>
  <c r="E17" i="2"/>
  <c r="D17" i="2"/>
  <c r="C17" i="2"/>
  <c r="E16" i="2"/>
  <c r="D16" i="2"/>
  <c r="C16" i="2"/>
  <c r="E15" i="2"/>
  <c r="D15" i="2"/>
  <c r="C15" i="2"/>
  <c r="E14" i="2"/>
  <c r="D14" i="2"/>
  <c r="C14" i="2"/>
  <c r="E13" i="2"/>
  <c r="D13" i="2"/>
  <c r="C13" i="2"/>
  <c r="E12" i="2"/>
  <c r="D12" i="2"/>
  <c r="C12" i="2"/>
  <c r="F24" i="3" l="1"/>
  <c r="D22" i="3"/>
  <c r="D24" i="3" s="1"/>
  <c r="E22" i="3"/>
  <c r="E24" i="3" s="1"/>
</calcChain>
</file>

<file path=xl/sharedStrings.xml><?xml version="1.0" encoding="utf-8"?>
<sst xmlns="http://schemas.openxmlformats.org/spreadsheetml/2006/main" count="133" uniqueCount="98">
  <si>
    <t>Discrete Utility Function</t>
  </si>
  <si>
    <t>Criterion:  'Energy efficiency rating of a building (Austrian Energy Certificate)'</t>
  </si>
  <si>
    <t>Energy Class</t>
  </si>
  <si>
    <t>Description</t>
  </si>
  <si>
    <t>Utility Value u</t>
  </si>
  <si>
    <t>A++</t>
  </si>
  <si>
    <t>Extremely energy-efficient (≤ 10 kWh/m²a)</t>
  </si>
  <si>
    <t>A+</t>
  </si>
  <si>
    <t>Nearly zero-energy (≤ 25 kWh/m²a)</t>
  </si>
  <si>
    <t>A</t>
  </si>
  <si>
    <t>Very high efficiency (≤ 50 kWh/m²a)</t>
  </si>
  <si>
    <t>B</t>
  </si>
  <si>
    <t>High efficiency (≤ 100 kWh/m²a)</t>
  </si>
  <si>
    <t>C</t>
  </si>
  <si>
    <t>Moderate efficiency (≤ 150 kWh/m²a)</t>
  </si>
  <si>
    <t>D</t>
  </si>
  <si>
    <t>Below average (≤ 200 kWh/m²a)</t>
  </si>
  <si>
    <t>E</t>
  </si>
  <si>
    <t>Poor to very poor efficiency (&gt; 200 kWh/m²a)</t>
  </si>
  <si>
    <t>F</t>
  </si>
  <si>
    <t>G</t>
  </si>
  <si>
    <t>Criterion:  'Disruption of tenants due to construction works'</t>
  </si>
  <si>
    <t>Energy class</t>
  </si>
  <si>
    <t>Disruption outlook</t>
  </si>
  <si>
    <t>Very high</t>
  </si>
  <si>
    <t>High</t>
  </si>
  <si>
    <t>Medium</t>
  </si>
  <si>
    <t>Low</t>
  </si>
  <si>
    <t>Very Low</t>
  </si>
  <si>
    <t>Continuous Utility Function</t>
  </si>
  <si>
    <t>Parameter</t>
  </si>
  <si>
    <t>Meaning</t>
  </si>
  <si>
    <t>Value (€)</t>
  </si>
  <si>
    <t>x_min</t>
  </si>
  <si>
    <t>Minimum cost 
👉 best outcome  (u = 1.0)</t>
  </si>
  <si>
    <t>x_max</t>
  </si>
  <si>
    <t>Maximum cost 
👉 worst outcome (u = 0.0)</t>
  </si>
  <si>
    <t>Utility function type</t>
  </si>
  <si>
    <t>Linear</t>
  </si>
  <si>
    <t>Convex</t>
  </si>
  <si>
    <t>Concave</t>
  </si>
  <si>
    <t>x [€]</t>
  </si>
  <si>
    <t>Equal weight to every € saved</t>
  </si>
  <si>
    <t>more risk-seeking</t>
  </si>
  <si>
    <t>more risk-averse</t>
  </si>
  <si>
    <t>Multicriteria Utility Analysis</t>
  </si>
  <si>
    <t>Criteria &amp; options</t>
  </si>
  <si>
    <t>Criterion</t>
  </si>
  <si>
    <t>Option A – Deep Retrofit</t>
  </si>
  <si>
    <t>Option B – Moderate Retrofit</t>
  </si>
  <si>
    <t>Option C – Light Retrofit</t>
  </si>
  <si>
    <t>Investment cost [€]</t>
  </si>
  <si>
    <t>Disruption to tenants</t>
  </si>
  <si>
    <t>Utlity values per criterion</t>
  </si>
  <si>
    <t>Comment</t>
  </si>
  <si>
    <t>Linear Utility Function</t>
  </si>
  <si>
    <t>Aggregation of utility values to total</t>
  </si>
  <si>
    <t>Weighted Score</t>
  </si>
  <si>
    <t>Weight</t>
  </si>
  <si>
    <t>Option A</t>
  </si>
  <si>
    <t>Option B</t>
  </si>
  <si>
    <t>Option C</t>
  </si>
  <si>
    <t>Total:</t>
  </si>
  <si>
    <t>MCUA – Sensitivity Analysis: Multiple Weighting Scenarios</t>
  </si>
  <si>
    <t>Scenario</t>
  </si>
  <si>
    <t>w₁
Investment
Cost</t>
  </si>
  <si>
    <t>w₂
Energy
Class</t>
  </si>
  <si>
    <t>w₃
Disruption
to Tenants</t>
  </si>
  <si>
    <t>Total Utility
Option A
(Deep Retrofit)</t>
  </si>
  <si>
    <t>Total Utility
Option B
(Moderate Retrofit)</t>
  </si>
  <si>
    <t>Total Utility
Option C
(Light Retrofit)</t>
  </si>
  <si>
    <t>Baseline (current weights)</t>
  </si>
  <si>
    <t>Equal weights</t>
  </si>
  <si>
    <t>Cost-focused</t>
  </si>
  <si>
    <t>Energy-focused</t>
  </si>
  <si>
    <t>Tenant comfort-focused</t>
  </si>
  <si>
    <t>Cost dominant, rest equal</t>
  </si>
  <si>
    <t>Sustainability-focused</t>
  </si>
  <si>
    <t>Units:</t>
  </si>
  <si>
    <t>Total Costs:</t>
  </si>
  <si>
    <t>Costs per unit:</t>
  </si>
  <si>
    <t>Total Costs</t>
  </si>
  <si>
    <t>Weight A:</t>
  </si>
  <si>
    <t>Weight B:</t>
  </si>
  <si>
    <t>Utility Value A:</t>
  </si>
  <si>
    <t>Utility Value B:</t>
  </si>
  <si>
    <t>Data Table with 1 changing variable</t>
  </si>
  <si>
    <t>Data Table with 2 changing variables</t>
  </si>
  <si>
    <t>Check: 
Σ Weights = 1</t>
  </si>
  <si>
    <t>Very cost-focused</t>
  </si>
  <si>
    <t>Cost &amp; energy balanced</t>
  </si>
  <si>
    <t>Cost &amp; tenant balanced</t>
  </si>
  <si>
    <t>Energy &amp; tenant balanced</t>
  </si>
  <si>
    <t>Rank Option A</t>
  </si>
  <si>
    <t>Rank Option B</t>
  </si>
  <si>
    <t>Rank Option C</t>
  </si>
  <si>
    <t>Mean:</t>
  </si>
  <si>
    <t>Median: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</si>
</sst>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\$* #,##0.00_);_(\$* \(#,##0.00\);_(\$* \-??_);_(@_)"/>
    <numFmt numFmtId="165" formatCode="_-&quot;€ &quot;* #,##0.00_-;&quot;-€ &quot;* #,##0.00_-;_-&quot;€ &quot;* \-??_-;_-@_-"/>
    <numFmt numFmtId="166" formatCode="0.0"/>
  </numFmts>
  <fonts count="11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color rgb="FF006100"/>
      <name val="Calibri"/>
      <family val="2"/>
      <charset val="1"/>
    </font>
    <font>
      <sz val="11"/>
      <color rgb="FF006100"/>
      <name val="Calibri"/>
      <family val="2"/>
      <charset val="1"/>
    </font>
    <font>
      <b/>
      <sz val="11"/>
      <color rgb="FF9C5700"/>
      <name val="Calibri"/>
      <family val="2"/>
      <charset val="1"/>
    </font>
    <font>
      <sz val="11"/>
      <color rgb="FF9C5700"/>
      <name val="Calibri"/>
      <family val="2"/>
      <charset val="1"/>
    </font>
    <font>
      <b/>
      <sz val="11"/>
      <color theme="1"/>
      <name val="Calibri"/>
      <family val="2"/>
      <charset val="1"/>
    </font>
    <font>
      <sz val="10"/>
      <name val="Arial"/>
      <charset val="1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</font>
    <font>
      <b/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6EFCE"/>
        <bgColor rgb="FFE2EFDA"/>
      </patternFill>
    </fill>
    <fill>
      <patternFill patternType="solid">
        <fgColor rgb="FFFFEB9C"/>
        <bgColor rgb="FFFFF2CC"/>
      </patternFill>
    </fill>
    <fill>
      <patternFill patternType="solid">
        <fgColor theme="0" tint="-0.14999847407452621"/>
        <bgColor rgb="FFD9E1F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</borders>
  <cellStyleXfs count="5">
    <xf numFmtId="0" fontId="0" fillId="0" borderId="0"/>
    <xf numFmtId="164" fontId="7" fillId="0" borderId="0"/>
    <xf numFmtId="0" fontId="3" fillId="2" borderId="0"/>
    <xf numFmtId="0" fontId="5" fillId="3" borderId="0"/>
    <xf numFmtId="0" fontId="1" fillId="0" borderId="0"/>
  </cellStyleXfs>
  <cellXfs count="140">
    <xf numFmtId="0" fontId="0" fillId="0" borderId="0" xfId="0"/>
    <xf numFmtId="0" fontId="2" fillId="2" borderId="0" xfId="2" applyFont="1"/>
    <xf numFmtId="0" fontId="4" fillId="3" borderId="0" xfId="3" applyFont="1"/>
    <xf numFmtId="0" fontId="5" fillId="3" borderId="0" xfId="3"/>
    <xf numFmtId="0" fontId="0" fillId="0" borderId="0" xfId="0" applyAlignment="1">
      <alignment wrapText="1"/>
    </xf>
    <xf numFmtId="0" fontId="6" fillId="0" borderId="1" xfId="0" applyFont="1" applyBorder="1"/>
    <xf numFmtId="0" fontId="6" fillId="0" borderId="1" xfId="0" applyFont="1" applyBorder="1" applyAlignment="1">
      <alignment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165" fontId="7" fillId="0" borderId="1" xfId="1" applyNumberFormat="1" applyBorder="1" applyAlignment="1">
      <alignment vertical="center"/>
    </xf>
    <xf numFmtId="0" fontId="6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165" fontId="7" fillId="0" borderId="9" xfId="1" applyNumberFormat="1" applyBorder="1"/>
    <xf numFmtId="0" fontId="0" fillId="0" borderId="2" xfId="0" applyBorder="1" applyAlignment="1">
      <alignment wrapText="1"/>
    </xf>
    <xf numFmtId="0" fontId="0" fillId="0" borderId="10" xfId="0" applyBorder="1"/>
    <xf numFmtId="0" fontId="0" fillId="0" borderId="11" xfId="0" applyBorder="1"/>
    <xf numFmtId="0" fontId="0" fillId="0" borderId="3" xfId="0" applyBorder="1" applyAlignment="1">
      <alignment wrapText="1"/>
    </xf>
    <xf numFmtId="0" fontId="0" fillId="0" borderId="1" xfId="0" applyBorder="1"/>
    <xf numFmtId="0" fontId="0" fillId="0" borderId="4" xfId="0" applyBorder="1"/>
    <xf numFmtId="165" fontId="7" fillId="0" borderId="12" xfId="1" applyNumberFormat="1" applyBorder="1"/>
    <xf numFmtId="0" fontId="0" fillId="0" borderId="13" xfId="0" applyBorder="1" applyAlignment="1">
      <alignment wrapText="1"/>
    </xf>
    <xf numFmtId="0" fontId="0" fillId="0" borderId="14" xfId="0" applyBorder="1"/>
    <xf numFmtId="0" fontId="0" fillId="0" borderId="15" xfId="0" applyBorder="1"/>
    <xf numFmtId="0" fontId="6" fillId="4" borderId="16" xfId="0" applyFont="1" applyFill="1" applyBorder="1" applyAlignment="1">
      <alignment horizontal="center" vertical="center" wrapText="1"/>
    </xf>
    <xf numFmtId="0" fontId="6" fillId="4" borderId="17" xfId="0" applyFont="1" applyFill="1" applyBorder="1" applyAlignment="1">
      <alignment horizontal="center" vertical="center" wrapText="1"/>
    </xf>
    <xf numFmtId="0" fontId="6" fillId="4" borderId="18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165" fontId="7" fillId="0" borderId="10" xfId="1" applyNumberFormat="1" applyBorder="1" applyAlignment="1">
      <alignment vertical="center" wrapText="1"/>
    </xf>
    <xf numFmtId="165" fontId="7" fillId="0" borderId="11" xfId="1" applyNumberForma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2" xfId="0" applyBorder="1" applyAlignment="1">
      <alignment vertical="center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3" xfId="0" applyBorder="1"/>
    <xf numFmtId="0" fontId="0" fillId="0" borderId="4" xfId="0" applyBorder="1" applyAlignment="1">
      <alignment vertical="center"/>
    </xf>
    <xf numFmtId="0" fontId="0" fillId="0" borderId="13" xfId="0" applyBorder="1"/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0" xfId="0" applyAlignment="1">
      <alignment vertical="center"/>
    </xf>
    <xf numFmtId="0" fontId="6" fillId="4" borderId="16" xfId="0" applyFont="1" applyFill="1" applyBorder="1"/>
    <xf numFmtId="0" fontId="6" fillId="4" borderId="17" xfId="0" applyFont="1" applyFill="1" applyBorder="1"/>
    <xf numFmtId="0" fontId="6" fillId="4" borderId="18" xfId="0" applyFont="1" applyFill="1" applyBorder="1"/>
    <xf numFmtId="0" fontId="0" fillId="0" borderId="10" xfId="0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0" fontId="1" fillId="0" borderId="0" xfId="4"/>
    <xf numFmtId="0" fontId="1" fillId="0" borderId="1" xfId="4" applyBorder="1"/>
    <xf numFmtId="0" fontId="1" fillId="0" borderId="0" xfId="4" applyAlignment="1">
      <alignment horizontal="center" vertical="center"/>
    </xf>
    <xf numFmtId="0" fontId="1" fillId="0" borderId="1" xfId="4" applyBorder="1" applyAlignment="1">
      <alignment horizontal="center" vertical="center"/>
    </xf>
    <xf numFmtId="0" fontId="1" fillId="0" borderId="11" xfId="4" applyBorder="1" applyAlignment="1">
      <alignment horizontal="center" vertical="center"/>
    </xf>
    <xf numFmtId="0" fontId="1" fillId="0" borderId="4" xfId="4" applyBorder="1" applyAlignment="1">
      <alignment horizontal="center" vertical="center"/>
    </xf>
    <xf numFmtId="0" fontId="1" fillId="0" borderId="5" xfId="4" applyBorder="1" applyAlignment="1">
      <alignment horizontal="center" vertical="center"/>
    </xf>
    <xf numFmtId="0" fontId="1" fillId="0" borderId="9" xfId="4" applyBorder="1" applyAlignment="1">
      <alignment horizontal="center" vertical="center"/>
    </xf>
    <xf numFmtId="0" fontId="1" fillId="0" borderId="12" xfId="4" applyBorder="1" applyAlignment="1">
      <alignment horizontal="center" vertical="center"/>
    </xf>
    <xf numFmtId="0" fontId="8" fillId="0" borderId="1" xfId="4" applyFont="1" applyBorder="1"/>
    <xf numFmtId="0" fontId="1" fillId="6" borderId="0" xfId="4" applyFill="1"/>
    <xf numFmtId="0" fontId="1" fillId="0" borderId="6" xfId="4" applyBorder="1" applyAlignment="1">
      <alignment horizontal="center" vertical="center"/>
    </xf>
    <xf numFmtId="0" fontId="1" fillId="0" borderId="13" xfId="4" applyBorder="1" applyAlignment="1">
      <alignment horizontal="center" vertical="center"/>
    </xf>
    <xf numFmtId="0" fontId="1" fillId="0" borderId="14" xfId="4" applyBorder="1" applyAlignment="1">
      <alignment horizontal="center" vertical="center"/>
    </xf>
    <xf numFmtId="0" fontId="1" fillId="0" borderId="10" xfId="4" applyBorder="1" applyAlignment="1">
      <alignment horizontal="center" vertical="center"/>
    </xf>
    <xf numFmtId="0" fontId="1" fillId="0" borderId="3" xfId="4" applyBorder="1" applyAlignment="1">
      <alignment horizontal="center" vertical="center"/>
    </xf>
    <xf numFmtId="0" fontId="8" fillId="5" borderId="11" xfId="4" applyFont="1" applyFill="1" applyBorder="1" applyAlignment="1">
      <alignment horizontal="center" vertical="center"/>
    </xf>
    <xf numFmtId="0" fontId="8" fillId="5" borderId="4" xfId="4" applyFont="1" applyFill="1" applyBorder="1" applyAlignment="1">
      <alignment horizontal="center" vertical="center"/>
    </xf>
    <xf numFmtId="0" fontId="8" fillId="5" borderId="15" xfId="4" applyFont="1" applyFill="1" applyBorder="1" applyAlignment="1">
      <alignment horizontal="center" vertical="center"/>
    </xf>
    <xf numFmtId="0" fontId="8" fillId="5" borderId="14" xfId="4" applyFont="1" applyFill="1" applyBorder="1" applyAlignment="1">
      <alignment horizontal="center" vertical="center"/>
    </xf>
    <xf numFmtId="0" fontId="8" fillId="5" borderId="24" xfId="4" applyFont="1" applyFill="1" applyBorder="1" applyAlignment="1">
      <alignment horizontal="center" vertical="center"/>
    </xf>
    <xf numFmtId="0" fontId="8" fillId="5" borderId="26" xfId="4" applyFont="1" applyFill="1" applyBorder="1" applyAlignment="1">
      <alignment horizontal="center" vertical="center"/>
    </xf>
    <xf numFmtId="0" fontId="1" fillId="0" borderId="27" xfId="4" applyBorder="1" applyAlignment="1">
      <alignment horizontal="center" vertical="center"/>
    </xf>
    <xf numFmtId="0" fontId="1" fillId="0" borderId="28" xfId="4" applyBorder="1" applyAlignment="1">
      <alignment horizontal="center" vertical="center"/>
    </xf>
    <xf numFmtId="0" fontId="1" fillId="0" borderId="29" xfId="4" applyBorder="1" applyAlignment="1">
      <alignment horizontal="center" vertical="center"/>
    </xf>
    <xf numFmtId="0" fontId="1" fillId="0" borderId="30" xfId="4" applyBorder="1" applyAlignment="1">
      <alignment horizontal="center" vertical="center"/>
    </xf>
    <xf numFmtId="0" fontId="1" fillId="0" borderId="31" xfId="4" applyBorder="1" applyAlignment="1">
      <alignment horizontal="center" vertical="center"/>
    </xf>
    <xf numFmtId="0" fontId="1" fillId="7" borderId="19" xfId="4" applyFill="1" applyBorder="1" applyAlignment="1">
      <alignment horizontal="center" vertical="center"/>
    </xf>
    <xf numFmtId="0" fontId="8" fillId="0" borderId="0" xfId="4" applyFont="1"/>
    <xf numFmtId="0" fontId="8" fillId="6" borderId="0" xfId="4" applyFont="1" applyFill="1"/>
    <xf numFmtId="0" fontId="0" fillId="0" borderId="0" xfId="0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2" fontId="0" fillId="0" borderId="23" xfId="0" applyNumberForma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2" fontId="0" fillId="0" borderId="32" xfId="0" applyNumberFormat="1" applyBorder="1" applyAlignment="1">
      <alignment horizontal="center" vertical="center"/>
    </xf>
    <xf numFmtId="0" fontId="10" fillId="5" borderId="16" xfId="0" applyFont="1" applyFill="1" applyBorder="1" applyAlignment="1">
      <alignment horizontal="center" vertical="center" wrapText="1"/>
    </xf>
    <xf numFmtId="0" fontId="10" fillId="5" borderId="34" xfId="0" applyFont="1" applyFill="1" applyBorder="1" applyAlignment="1">
      <alignment horizontal="center" vertical="center" wrapText="1"/>
    </xf>
    <xf numFmtId="0" fontId="10" fillId="5" borderId="30" xfId="0" applyFont="1" applyFill="1" applyBorder="1"/>
    <xf numFmtId="0" fontId="10" fillId="5" borderId="20" xfId="0" applyFont="1" applyFill="1" applyBorder="1"/>
    <xf numFmtId="0" fontId="10" fillId="5" borderId="25" xfId="0" applyFont="1" applyFill="1" applyBorder="1"/>
    <xf numFmtId="0" fontId="0" fillId="0" borderId="22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2" fontId="0" fillId="0" borderId="33" xfId="0" applyNumberFormat="1" applyBorder="1" applyAlignment="1">
      <alignment horizontal="center" vertical="center"/>
    </xf>
    <xf numFmtId="0" fontId="0" fillId="0" borderId="3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/>
    </xf>
    <xf numFmtId="0" fontId="10" fillId="5" borderId="17" xfId="0" applyFont="1" applyFill="1" applyBorder="1" applyAlignment="1">
      <alignment horizontal="center" vertical="center" wrapText="1"/>
    </xf>
    <xf numFmtId="0" fontId="10" fillId="5" borderId="18" xfId="0" applyFont="1" applyFill="1" applyBorder="1" applyAlignment="1">
      <alignment horizontal="center" vertical="center" wrapText="1"/>
    </xf>
    <xf numFmtId="0" fontId="10" fillId="5" borderId="19" xfId="0" applyFont="1" applyFill="1" applyBorder="1" applyAlignment="1">
      <alignment horizontal="center" vertical="center" wrapText="1"/>
    </xf>
    <xf numFmtId="0" fontId="10" fillId="5" borderId="35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right"/>
    </xf>
    <xf numFmtId="0" fontId="0" fillId="0" borderId="30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0" fillId="5" borderId="32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10" fillId="5" borderId="13" xfId="0" applyFont="1" applyFill="1" applyBorder="1" applyAlignment="1">
      <alignment horizontal="center" vertical="center"/>
    </xf>
    <xf numFmtId="0" fontId="10" fillId="5" borderId="16" xfId="0" applyFont="1" applyFill="1" applyBorder="1" applyAlignment="1">
      <alignment horizontal="center" vertical="center" wrapText="1"/>
    </xf>
    <xf numFmtId="0" fontId="10" fillId="5" borderId="34" xfId="0" applyFont="1" applyFill="1" applyBorder="1" applyAlignment="1">
      <alignment horizontal="center" vertical="center" wrapText="1"/>
    </xf>
    <xf numFmtId="0" fontId="9" fillId="2" borderId="0" xfId="2" applyFont="1" applyAlignment="1">
      <alignment horizontal="center" vertical="center"/>
    </xf>
    <xf numFmtId="0" fontId="6" fillId="0" borderId="2" xfId="0" applyFont="1" applyBorder="1" applyAlignment="1">
      <alignment horizontal="center" wrapText="1"/>
    </xf>
    <xf numFmtId="0" fontId="8" fillId="5" borderId="2" xfId="4" applyFont="1" applyFill="1" applyBorder="1" applyAlignment="1">
      <alignment horizontal="center" vertical="center" textRotation="90" wrapText="1"/>
    </xf>
    <xf numFmtId="0" fontId="8" fillId="5" borderId="3" xfId="4" applyFont="1" applyFill="1" applyBorder="1" applyAlignment="1">
      <alignment horizontal="center" vertical="center" textRotation="90" wrapText="1"/>
    </xf>
    <xf numFmtId="0" fontId="8" fillId="5" borderId="13" xfId="4" applyFont="1" applyFill="1" applyBorder="1" applyAlignment="1">
      <alignment horizontal="center" vertical="center" textRotation="90" wrapText="1"/>
    </xf>
    <xf numFmtId="0" fontId="8" fillId="5" borderId="2" xfId="4" applyFont="1" applyFill="1" applyBorder="1" applyAlignment="1">
      <alignment horizontal="center"/>
    </xf>
    <xf numFmtId="0" fontId="8" fillId="5" borderId="10" xfId="4" applyFont="1" applyFill="1" applyBorder="1" applyAlignment="1">
      <alignment horizontal="center"/>
    </xf>
    <xf numFmtId="0" fontId="8" fillId="5" borderId="11" xfId="4" applyFont="1" applyFill="1" applyBorder="1" applyAlignment="1">
      <alignment horizontal="center"/>
    </xf>
    <xf numFmtId="0" fontId="8" fillId="5" borderId="2" xfId="4" applyFont="1" applyFill="1" applyBorder="1" applyAlignment="1">
      <alignment horizontal="center" vertical="center"/>
    </xf>
    <xf numFmtId="0" fontId="8" fillId="5" borderId="3" xfId="4" applyFont="1" applyFill="1" applyBorder="1" applyAlignment="1">
      <alignment horizontal="center" vertical="center"/>
    </xf>
    <xf numFmtId="0" fontId="8" fillId="5" borderId="13" xfId="4" applyFont="1" applyFill="1" applyBorder="1" applyAlignment="1">
      <alignment horizontal="center" vertical="center"/>
    </xf>
    <xf numFmtId="0" fontId="9" fillId="2" borderId="0" xfId="2" applyFont="1"/>
  </cellXfs>
  <cellStyles count="5">
    <cellStyle name="Excel Built-in Good" xfId="2" xr:uid="{00000000-0005-0000-0000-000006000000}"/>
    <cellStyle name="Excel Built-in Neutral" xfId="3" xr:uid="{00000000-0005-0000-0000-000007000000}"/>
    <cellStyle name="Standard" xfId="0" builtinId="0"/>
    <cellStyle name="Standard 2" xfId="4" xr:uid="{9DCE6DEA-128E-4D5A-BCB0-C2BD04C2267A}"/>
    <cellStyle name="Währung" xfId="1" builtinId="4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D9D9D9"/>
      <rgbColor rgb="FF4F81BD"/>
      <rgbColor rgb="FF9999FF"/>
      <rgbColor rgb="FFC0504D"/>
      <rgbColor rgb="FFFFF2CC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D6E4F0"/>
      <rgbColor rgb="FFF2F9EE"/>
      <rgbColor rgb="FFCC99FF"/>
      <rgbColor rgb="FFD9E1F2"/>
      <rgbColor rgb="FF2E75B6"/>
      <rgbColor rgb="FF33CCCC"/>
      <rgbColor rgb="FF9BBB59"/>
      <rgbColor rgb="FFFFCC00"/>
      <rgbColor rgb="FFFF9900"/>
      <rgbColor rgb="FFFF6600"/>
      <rgbColor rgb="FF595959"/>
      <rgbColor rgb="FFAAAAAA"/>
      <rgbColor rgb="FF003366"/>
      <rgbColor rgb="FF339966"/>
      <rgbColor rgb="FF003300"/>
      <rgbColor rgb="FF333300"/>
      <rgbColor rgb="FF9C57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Utility Value for Energy Efficiency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'Discrete Utility Functions'!$D$6</c:f>
              <c:strCache>
                <c:ptCount val="1"/>
                <c:pt idx="0">
                  <c:v>Utility Value u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de-DE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'Discrete Utility Functions'!$B$7:$B$15</c:f>
              <c:strCache>
                <c:ptCount val="9"/>
                <c:pt idx="0">
                  <c:v>A++</c:v>
                </c:pt>
                <c:pt idx="1">
                  <c:v>A+</c:v>
                </c:pt>
                <c:pt idx="2">
                  <c:v>A</c:v>
                </c:pt>
                <c:pt idx="3">
                  <c:v>B</c:v>
                </c:pt>
                <c:pt idx="4">
                  <c:v>C</c:v>
                </c:pt>
                <c:pt idx="5">
                  <c:v>D</c:v>
                </c:pt>
                <c:pt idx="6">
                  <c:v>E</c:v>
                </c:pt>
                <c:pt idx="7">
                  <c:v>F</c:v>
                </c:pt>
                <c:pt idx="8">
                  <c:v>G</c:v>
                </c:pt>
              </c:strCache>
            </c:strRef>
          </c:cat>
          <c:val>
            <c:numRef>
              <c:f>'Discrete Utility Functions'!$D$7:$D$15</c:f>
              <c:numCache>
                <c:formatCode>General</c:formatCode>
                <c:ptCount val="9"/>
                <c:pt idx="0">
                  <c:v>1</c:v>
                </c:pt>
                <c:pt idx="1">
                  <c:v>0.9</c:v>
                </c:pt>
                <c:pt idx="2">
                  <c:v>0.75</c:v>
                </c:pt>
                <c:pt idx="3">
                  <c:v>0.55000000000000004</c:v>
                </c:pt>
                <c:pt idx="4">
                  <c:v>0.35</c:v>
                </c:pt>
                <c:pt idx="5">
                  <c:v>0.15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A8-4171-85B3-BF4C2F831A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772026"/>
        <c:axId val="8870442"/>
      </c:barChart>
      <c:catAx>
        <c:axId val="6877202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de-DE"/>
          </a:p>
        </c:txPr>
        <c:crossAx val="8870442"/>
        <c:crosses val="autoZero"/>
        <c:auto val="1"/>
        <c:lblAlgn val="ctr"/>
        <c:lblOffset val="100"/>
        <c:noMultiLvlLbl val="0"/>
      </c:catAx>
      <c:valAx>
        <c:axId val="8870442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de-DE"/>
          </a:p>
        </c:txPr>
        <c:crossAx val="6877202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Utility Value for Disruption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'Discrete Utility Functions'!$D$20</c:f>
              <c:strCache>
                <c:ptCount val="1"/>
                <c:pt idx="0">
                  <c:v>Utility Value u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de-DE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'Discrete Utility Functions'!$B$21:$C$29</c:f>
              <c:multiLvlStrCache>
                <c:ptCount val="9"/>
                <c:lvl>
                  <c:pt idx="0">
                    <c:v>Very high</c:v>
                  </c:pt>
                  <c:pt idx="1">
                    <c:v>High</c:v>
                  </c:pt>
                  <c:pt idx="2">
                    <c:v>High</c:v>
                  </c:pt>
                  <c:pt idx="3">
                    <c:v>Medium</c:v>
                  </c:pt>
                  <c:pt idx="4">
                    <c:v>Medium</c:v>
                  </c:pt>
                  <c:pt idx="5">
                    <c:v>Low</c:v>
                  </c:pt>
                  <c:pt idx="6">
                    <c:v>Low</c:v>
                  </c:pt>
                  <c:pt idx="7">
                    <c:v>Very Low</c:v>
                  </c:pt>
                  <c:pt idx="8">
                    <c:v>Very Low</c:v>
                  </c:pt>
                </c:lvl>
                <c:lvl>
                  <c:pt idx="0">
                    <c:v>A++</c:v>
                  </c:pt>
                  <c:pt idx="1">
                    <c:v>A+</c:v>
                  </c:pt>
                  <c:pt idx="2">
                    <c:v>A</c:v>
                  </c:pt>
                  <c:pt idx="3">
                    <c:v>B</c:v>
                  </c:pt>
                  <c:pt idx="4">
                    <c:v>C</c:v>
                  </c:pt>
                  <c:pt idx="5">
                    <c:v>D</c:v>
                  </c:pt>
                  <c:pt idx="6">
                    <c:v>E</c:v>
                  </c:pt>
                  <c:pt idx="7">
                    <c:v>F</c:v>
                  </c:pt>
                  <c:pt idx="8">
                    <c:v>G</c:v>
                  </c:pt>
                </c:lvl>
              </c:multiLvlStrCache>
            </c:multiLvlStrRef>
          </c:cat>
          <c:val>
            <c:numRef>
              <c:f>'Discrete Utility Functions'!$D$21:$D$29</c:f>
              <c:numCache>
                <c:formatCode>General</c:formatCode>
                <c:ptCount val="9"/>
                <c:pt idx="0">
                  <c:v>0</c:v>
                </c:pt>
                <c:pt idx="1">
                  <c:v>0.15</c:v>
                </c:pt>
                <c:pt idx="2">
                  <c:v>0.15</c:v>
                </c:pt>
                <c:pt idx="3">
                  <c:v>0.4</c:v>
                </c:pt>
                <c:pt idx="4">
                  <c:v>0.4</c:v>
                </c:pt>
                <c:pt idx="5">
                  <c:v>0.8</c:v>
                </c:pt>
                <c:pt idx="6">
                  <c:v>0.8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66-416D-B83F-8A122A2A4D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11430"/>
        <c:axId val="28418773"/>
      </c:barChart>
      <c:catAx>
        <c:axId val="1321143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de-DE"/>
          </a:p>
        </c:txPr>
        <c:crossAx val="28418773"/>
        <c:crosses val="autoZero"/>
        <c:auto val="1"/>
        <c:lblAlgn val="ctr"/>
        <c:lblOffset val="100"/>
        <c:noMultiLvlLbl val="0"/>
      </c:catAx>
      <c:valAx>
        <c:axId val="28418773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de-DE"/>
          </a:p>
        </c:txPr>
        <c:crossAx val="1321143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title>
      <c:tx>
        <c:rich>
          <a:bodyPr rot="0"/>
          <a:lstStyle/>
          <a:p>
            <a:pPr>
              <a:defRPr lang="de-AT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de-AT" sz="1400" b="0" strike="noStrike" spc="-1">
                <a:solidFill>
                  <a:srgbClr val="595959"/>
                </a:solidFill>
                <a:latin typeface="Calibri"/>
              </a:rPr>
              <a:t>Exemplary Utility Functions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'Continuous Utility Functions'!$C$10</c:f>
              <c:strCache>
                <c:ptCount val="1"/>
                <c:pt idx="0">
                  <c:v>Linear</c:v>
                </c:pt>
              </c:strCache>
            </c:strRef>
          </c:tx>
          <c:spPr>
            <a:ln w="28440" cap="rnd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de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'Continuous Utility Functions'!$B$12:$B$32</c:f>
              <c:numCache>
                <c:formatCode>_-"€ "* #,##0.00_-;"-€ "* #,##0.00_-;_-"€ "* \-??_-;_-@_-</c:formatCode>
                <c:ptCount val="21"/>
                <c:pt idx="0">
                  <c:v>20000</c:v>
                </c:pt>
                <c:pt idx="1">
                  <c:v>24000</c:v>
                </c:pt>
                <c:pt idx="2">
                  <c:v>28000</c:v>
                </c:pt>
                <c:pt idx="3">
                  <c:v>32000</c:v>
                </c:pt>
                <c:pt idx="4">
                  <c:v>36000</c:v>
                </c:pt>
                <c:pt idx="5">
                  <c:v>40000</c:v>
                </c:pt>
                <c:pt idx="6">
                  <c:v>44000</c:v>
                </c:pt>
                <c:pt idx="7">
                  <c:v>48000</c:v>
                </c:pt>
                <c:pt idx="8">
                  <c:v>52000</c:v>
                </c:pt>
                <c:pt idx="9">
                  <c:v>56000</c:v>
                </c:pt>
                <c:pt idx="10">
                  <c:v>60000</c:v>
                </c:pt>
                <c:pt idx="11">
                  <c:v>64000</c:v>
                </c:pt>
                <c:pt idx="12">
                  <c:v>68000</c:v>
                </c:pt>
                <c:pt idx="13">
                  <c:v>72000</c:v>
                </c:pt>
                <c:pt idx="14">
                  <c:v>76000</c:v>
                </c:pt>
                <c:pt idx="15">
                  <c:v>80000</c:v>
                </c:pt>
                <c:pt idx="16">
                  <c:v>84000</c:v>
                </c:pt>
                <c:pt idx="17">
                  <c:v>88000</c:v>
                </c:pt>
                <c:pt idx="18">
                  <c:v>92000</c:v>
                </c:pt>
                <c:pt idx="19">
                  <c:v>96000</c:v>
                </c:pt>
                <c:pt idx="20">
                  <c:v>100000</c:v>
                </c:pt>
              </c:numCache>
            </c:numRef>
          </c:cat>
          <c:val>
            <c:numRef>
              <c:f>'Continuous Utility Functions'!$C$12:$C$32</c:f>
              <c:numCache>
                <c:formatCode>General</c:formatCode>
                <c:ptCount val="21"/>
                <c:pt idx="0">
                  <c:v>1</c:v>
                </c:pt>
                <c:pt idx="1">
                  <c:v>0.95</c:v>
                </c:pt>
                <c:pt idx="2">
                  <c:v>0.9</c:v>
                </c:pt>
                <c:pt idx="3">
                  <c:v>0.85</c:v>
                </c:pt>
                <c:pt idx="4">
                  <c:v>0.8</c:v>
                </c:pt>
                <c:pt idx="5">
                  <c:v>0.75</c:v>
                </c:pt>
                <c:pt idx="6">
                  <c:v>0.7</c:v>
                </c:pt>
                <c:pt idx="7">
                  <c:v>0.65</c:v>
                </c:pt>
                <c:pt idx="8">
                  <c:v>0.6</c:v>
                </c:pt>
                <c:pt idx="9">
                  <c:v>0.55000000000000004</c:v>
                </c:pt>
                <c:pt idx="10">
                  <c:v>0.5</c:v>
                </c:pt>
                <c:pt idx="11">
                  <c:v>0.45</c:v>
                </c:pt>
                <c:pt idx="12">
                  <c:v>0.4</c:v>
                </c:pt>
                <c:pt idx="13">
                  <c:v>0.35</c:v>
                </c:pt>
                <c:pt idx="14">
                  <c:v>0.3</c:v>
                </c:pt>
                <c:pt idx="15">
                  <c:v>0.25</c:v>
                </c:pt>
                <c:pt idx="16">
                  <c:v>0.2</c:v>
                </c:pt>
                <c:pt idx="17">
                  <c:v>0.15</c:v>
                </c:pt>
                <c:pt idx="18">
                  <c:v>0.1</c:v>
                </c:pt>
                <c:pt idx="19">
                  <c:v>0.05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7B-4954-8611-08F255030991}"/>
            </c:ext>
          </c:extLst>
        </c:ser>
        <c:ser>
          <c:idx val="1"/>
          <c:order val="1"/>
          <c:tx>
            <c:strRef>
              <c:f>'Continuous Utility Functions'!$D$10</c:f>
              <c:strCache>
                <c:ptCount val="1"/>
                <c:pt idx="0">
                  <c:v>Convex</c:v>
                </c:pt>
              </c:strCache>
            </c:strRef>
          </c:tx>
          <c:spPr>
            <a:ln w="28440" cap="rnd">
              <a:solidFill>
                <a:srgbClr val="C0504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de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'Continuous Utility Functions'!$B$12:$B$32</c:f>
              <c:numCache>
                <c:formatCode>_-"€ "* #,##0.00_-;"-€ "* #,##0.00_-;_-"€ "* \-??_-;_-@_-</c:formatCode>
                <c:ptCount val="21"/>
                <c:pt idx="0">
                  <c:v>20000</c:v>
                </c:pt>
                <c:pt idx="1">
                  <c:v>24000</c:v>
                </c:pt>
                <c:pt idx="2">
                  <c:v>28000</c:v>
                </c:pt>
                <c:pt idx="3">
                  <c:v>32000</c:v>
                </c:pt>
                <c:pt idx="4">
                  <c:v>36000</c:v>
                </c:pt>
                <c:pt idx="5">
                  <c:v>40000</c:v>
                </c:pt>
                <c:pt idx="6">
                  <c:v>44000</c:v>
                </c:pt>
                <c:pt idx="7">
                  <c:v>48000</c:v>
                </c:pt>
                <c:pt idx="8">
                  <c:v>52000</c:v>
                </c:pt>
                <c:pt idx="9">
                  <c:v>56000</c:v>
                </c:pt>
                <c:pt idx="10">
                  <c:v>60000</c:v>
                </c:pt>
                <c:pt idx="11">
                  <c:v>64000</c:v>
                </c:pt>
                <c:pt idx="12">
                  <c:v>68000</c:v>
                </c:pt>
                <c:pt idx="13">
                  <c:v>72000</c:v>
                </c:pt>
                <c:pt idx="14">
                  <c:v>76000</c:v>
                </c:pt>
                <c:pt idx="15">
                  <c:v>80000</c:v>
                </c:pt>
                <c:pt idx="16">
                  <c:v>84000</c:v>
                </c:pt>
                <c:pt idx="17">
                  <c:v>88000</c:v>
                </c:pt>
                <c:pt idx="18">
                  <c:v>92000</c:v>
                </c:pt>
                <c:pt idx="19">
                  <c:v>96000</c:v>
                </c:pt>
                <c:pt idx="20">
                  <c:v>100000</c:v>
                </c:pt>
              </c:numCache>
            </c:numRef>
          </c:cat>
          <c:val>
            <c:numRef>
              <c:f>'Continuous Utility Functions'!$D$12:$D$32</c:f>
              <c:numCache>
                <c:formatCode>General</c:formatCode>
                <c:ptCount val="21"/>
                <c:pt idx="0">
                  <c:v>1</c:v>
                </c:pt>
                <c:pt idx="1">
                  <c:v>0.97467943448089633</c:v>
                </c:pt>
                <c:pt idx="2">
                  <c:v>0.94868329805051377</c:v>
                </c:pt>
                <c:pt idx="3">
                  <c:v>0.92195444572928875</c:v>
                </c:pt>
                <c:pt idx="4">
                  <c:v>0.89442719099991586</c:v>
                </c:pt>
                <c:pt idx="5">
                  <c:v>0.8660254037844386</c:v>
                </c:pt>
                <c:pt idx="6">
                  <c:v>0.83666002653407556</c:v>
                </c:pt>
                <c:pt idx="7">
                  <c:v>0.80622577482985502</c:v>
                </c:pt>
                <c:pt idx="8">
                  <c:v>0.7745966692414834</c:v>
                </c:pt>
                <c:pt idx="9">
                  <c:v>0.74161984870956632</c:v>
                </c:pt>
                <c:pt idx="10">
                  <c:v>0.70710678118654757</c:v>
                </c:pt>
                <c:pt idx="11">
                  <c:v>0.67082039324993692</c:v>
                </c:pt>
                <c:pt idx="12">
                  <c:v>0.63245553203367588</c:v>
                </c:pt>
                <c:pt idx="13">
                  <c:v>0.59160797830996159</c:v>
                </c:pt>
                <c:pt idx="14">
                  <c:v>0.54772255750516607</c:v>
                </c:pt>
                <c:pt idx="15">
                  <c:v>0.5</c:v>
                </c:pt>
                <c:pt idx="16">
                  <c:v>0.44721359549995793</c:v>
                </c:pt>
                <c:pt idx="17">
                  <c:v>0.3872983346207417</c:v>
                </c:pt>
                <c:pt idx="18">
                  <c:v>0.31622776601683794</c:v>
                </c:pt>
                <c:pt idx="19">
                  <c:v>0.22360679774997896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7B-4954-8611-08F255030991}"/>
            </c:ext>
          </c:extLst>
        </c:ser>
        <c:ser>
          <c:idx val="2"/>
          <c:order val="2"/>
          <c:tx>
            <c:strRef>
              <c:f>'Continuous Utility Functions'!$E$10</c:f>
              <c:strCache>
                <c:ptCount val="1"/>
                <c:pt idx="0">
                  <c:v>Concave</c:v>
                </c:pt>
              </c:strCache>
            </c:strRef>
          </c:tx>
          <c:spPr>
            <a:ln w="28440" cap="rnd">
              <a:solidFill>
                <a:srgbClr val="9BBB5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de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'Continuous Utility Functions'!$B$12:$B$32</c:f>
              <c:numCache>
                <c:formatCode>_-"€ "* #,##0.00_-;"-€ "* #,##0.00_-;_-"€ "* \-??_-;_-@_-</c:formatCode>
                <c:ptCount val="21"/>
                <c:pt idx="0">
                  <c:v>20000</c:v>
                </c:pt>
                <c:pt idx="1">
                  <c:v>24000</c:v>
                </c:pt>
                <c:pt idx="2">
                  <c:v>28000</c:v>
                </c:pt>
                <c:pt idx="3">
                  <c:v>32000</c:v>
                </c:pt>
                <c:pt idx="4">
                  <c:v>36000</c:v>
                </c:pt>
                <c:pt idx="5">
                  <c:v>40000</c:v>
                </c:pt>
                <c:pt idx="6">
                  <c:v>44000</c:v>
                </c:pt>
                <c:pt idx="7">
                  <c:v>48000</c:v>
                </c:pt>
                <c:pt idx="8">
                  <c:v>52000</c:v>
                </c:pt>
                <c:pt idx="9">
                  <c:v>56000</c:v>
                </c:pt>
                <c:pt idx="10">
                  <c:v>60000</c:v>
                </c:pt>
                <c:pt idx="11">
                  <c:v>64000</c:v>
                </c:pt>
                <c:pt idx="12">
                  <c:v>68000</c:v>
                </c:pt>
                <c:pt idx="13">
                  <c:v>72000</c:v>
                </c:pt>
                <c:pt idx="14">
                  <c:v>76000</c:v>
                </c:pt>
                <c:pt idx="15">
                  <c:v>80000</c:v>
                </c:pt>
                <c:pt idx="16">
                  <c:v>84000</c:v>
                </c:pt>
                <c:pt idx="17">
                  <c:v>88000</c:v>
                </c:pt>
                <c:pt idx="18">
                  <c:v>92000</c:v>
                </c:pt>
                <c:pt idx="19">
                  <c:v>96000</c:v>
                </c:pt>
                <c:pt idx="20">
                  <c:v>100000</c:v>
                </c:pt>
              </c:numCache>
            </c:numRef>
          </c:cat>
          <c:val>
            <c:numRef>
              <c:f>'Continuous Utility Functions'!$E$12:$E$32</c:f>
              <c:numCache>
                <c:formatCode>General</c:formatCode>
                <c:ptCount val="21"/>
                <c:pt idx="0">
                  <c:v>1</c:v>
                </c:pt>
                <c:pt idx="1">
                  <c:v>0.90249999999999997</c:v>
                </c:pt>
                <c:pt idx="2">
                  <c:v>0.81</c:v>
                </c:pt>
                <c:pt idx="3">
                  <c:v>0.72249999999999992</c:v>
                </c:pt>
                <c:pt idx="4">
                  <c:v>0.64000000000000012</c:v>
                </c:pt>
                <c:pt idx="5">
                  <c:v>0.5625</c:v>
                </c:pt>
                <c:pt idx="6">
                  <c:v>0.48999999999999994</c:v>
                </c:pt>
                <c:pt idx="7">
                  <c:v>0.42250000000000004</c:v>
                </c:pt>
                <c:pt idx="8">
                  <c:v>0.36</c:v>
                </c:pt>
                <c:pt idx="9">
                  <c:v>0.30250000000000005</c:v>
                </c:pt>
                <c:pt idx="10">
                  <c:v>0.25</c:v>
                </c:pt>
                <c:pt idx="11">
                  <c:v>0.20250000000000001</c:v>
                </c:pt>
                <c:pt idx="12">
                  <c:v>0.16000000000000003</c:v>
                </c:pt>
                <c:pt idx="13">
                  <c:v>0.12249999999999998</c:v>
                </c:pt>
                <c:pt idx="14">
                  <c:v>0.09</c:v>
                </c:pt>
                <c:pt idx="15">
                  <c:v>6.25E-2</c:v>
                </c:pt>
                <c:pt idx="16">
                  <c:v>4.0000000000000008E-2</c:v>
                </c:pt>
                <c:pt idx="17">
                  <c:v>2.2499999999999999E-2</c:v>
                </c:pt>
                <c:pt idx="18">
                  <c:v>1.0000000000000002E-2</c:v>
                </c:pt>
                <c:pt idx="19">
                  <c:v>2.5000000000000005E-3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B7B-4954-8611-08F2550309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2561539"/>
        <c:axId val="85605697"/>
      </c:lineChart>
      <c:catAx>
        <c:axId val="8256153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de-AT" sz="1000" b="0" strike="noStrike" spc="-1">
                    <a:solidFill>
                      <a:srgbClr val="595959"/>
                    </a:solidFill>
                    <a:latin typeface="Calibri"/>
                  </a:defRPr>
                </a:pPr>
                <a:r>
                  <a:rPr lang="de-AT" sz="1000" b="0" strike="noStrike" spc="-1">
                    <a:solidFill>
                      <a:srgbClr val="595959"/>
                    </a:solidFill>
                    <a:latin typeface="Calibri"/>
                  </a:rPr>
                  <a:t>Investment costs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_(\€* #,##0.00_);_(\€* \(#,##0.00\);_(\€* \-??_);_(@_)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de-DE"/>
          </a:p>
        </c:txPr>
        <c:crossAx val="85605697"/>
        <c:crosses val="autoZero"/>
        <c:auto val="1"/>
        <c:lblAlgn val="ctr"/>
        <c:lblOffset val="100"/>
        <c:noMultiLvlLbl val="0"/>
      </c:catAx>
      <c:valAx>
        <c:axId val="85605697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de-AT" sz="1000" b="0" strike="noStrike" spc="-1">
                    <a:solidFill>
                      <a:srgbClr val="595959"/>
                    </a:solidFill>
                    <a:latin typeface="Calibri"/>
                  </a:defRPr>
                </a:pPr>
                <a:r>
                  <a:rPr lang="de-AT" sz="1000" b="0" strike="noStrike" spc="-1">
                    <a:solidFill>
                      <a:srgbClr val="595959"/>
                    </a:solidFill>
                    <a:latin typeface="Calibri"/>
                  </a:rPr>
                  <a:t>Utility 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de-DE"/>
          </a:p>
        </c:txPr>
        <c:crossAx val="8256153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de-D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960120</xdr:colOff>
      <xdr:row>0</xdr:row>
      <xdr:rowOff>122040</xdr:rowOff>
    </xdr:from>
    <xdr:to>
      <xdr:col>9</xdr:col>
      <xdr:colOff>258840</xdr:colOff>
      <xdr:row>15</xdr:row>
      <xdr:rowOff>121680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983160</xdr:colOff>
      <xdr:row>16</xdr:row>
      <xdr:rowOff>563760</xdr:rowOff>
    </xdr:from>
    <xdr:to>
      <xdr:col>9</xdr:col>
      <xdr:colOff>281880</xdr:colOff>
      <xdr:row>30</xdr:row>
      <xdr:rowOff>113760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302040</xdr:colOff>
      <xdr:row>11</xdr:row>
      <xdr:rowOff>84600</xdr:rowOff>
    </xdr:from>
    <xdr:to>
      <xdr:col>11</xdr:col>
      <xdr:colOff>647280</xdr:colOff>
      <xdr:row>32</xdr:row>
      <xdr:rowOff>17640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29"/>
  <sheetViews>
    <sheetView topLeftCell="A17" zoomScale="181" zoomScaleNormal="181" workbookViewId="0">
      <selection activeCell="C21" sqref="C21"/>
    </sheetView>
  </sheetViews>
  <sheetFormatPr baseColWidth="10" defaultColWidth="10.6640625" defaultRowHeight="14.4" x14ac:dyDescent="0.3"/>
  <cols>
    <col min="3" max="3" width="38.33203125" customWidth="1"/>
    <col min="4" max="4" width="15.33203125" customWidth="1"/>
    <col min="5" max="5" width="30.6640625" customWidth="1"/>
  </cols>
  <sheetData>
    <row r="2" spans="2:4" x14ac:dyDescent="0.3">
      <c r="B2" s="1" t="s">
        <v>0</v>
      </c>
      <c r="C2" s="1"/>
      <c r="D2" s="1"/>
    </row>
    <row r="4" spans="2:4" x14ac:dyDescent="0.3">
      <c r="B4" s="2" t="s">
        <v>1</v>
      </c>
      <c r="C4" s="3"/>
      <c r="D4" s="3"/>
    </row>
    <row r="6" spans="2:4" x14ac:dyDescent="0.3">
      <c r="B6" t="s">
        <v>2</v>
      </c>
      <c r="C6" t="s">
        <v>3</v>
      </c>
      <c r="D6" t="s">
        <v>4</v>
      </c>
    </row>
    <row r="7" spans="2:4" x14ac:dyDescent="0.3">
      <c r="B7" t="s">
        <v>5</v>
      </c>
      <c r="C7" t="s">
        <v>6</v>
      </c>
      <c r="D7">
        <v>1</v>
      </c>
    </row>
    <row r="8" spans="2:4" x14ac:dyDescent="0.3">
      <c r="B8" t="s">
        <v>7</v>
      </c>
      <c r="C8" t="s">
        <v>8</v>
      </c>
      <c r="D8">
        <v>0.9</v>
      </c>
    </row>
    <row r="9" spans="2:4" x14ac:dyDescent="0.3">
      <c r="B9" t="s">
        <v>9</v>
      </c>
      <c r="C9" t="s">
        <v>10</v>
      </c>
      <c r="D9">
        <v>0.75</v>
      </c>
    </row>
    <row r="10" spans="2:4" x14ac:dyDescent="0.3">
      <c r="B10" t="s">
        <v>11</v>
      </c>
      <c r="C10" t="s">
        <v>12</v>
      </c>
      <c r="D10">
        <v>0.55000000000000004</v>
      </c>
    </row>
    <row r="11" spans="2:4" x14ac:dyDescent="0.3">
      <c r="B11" t="s">
        <v>13</v>
      </c>
      <c r="C11" t="s">
        <v>14</v>
      </c>
      <c r="D11">
        <v>0.35</v>
      </c>
    </row>
    <row r="12" spans="2:4" x14ac:dyDescent="0.3">
      <c r="B12" t="s">
        <v>15</v>
      </c>
      <c r="C12" t="s">
        <v>16</v>
      </c>
      <c r="D12">
        <v>0.15</v>
      </c>
    </row>
    <row r="13" spans="2:4" x14ac:dyDescent="0.3">
      <c r="B13" t="s">
        <v>17</v>
      </c>
      <c r="C13" t="s">
        <v>18</v>
      </c>
      <c r="D13">
        <v>0</v>
      </c>
    </row>
    <row r="14" spans="2:4" x14ac:dyDescent="0.3">
      <c r="B14" t="s">
        <v>19</v>
      </c>
      <c r="C14" t="s">
        <v>18</v>
      </c>
      <c r="D14">
        <v>0</v>
      </c>
    </row>
    <row r="15" spans="2:4" x14ac:dyDescent="0.3">
      <c r="B15" t="s">
        <v>20</v>
      </c>
      <c r="C15" t="s">
        <v>18</v>
      </c>
      <c r="D15">
        <v>0</v>
      </c>
    </row>
    <row r="17" spans="2:4" ht="63.75" customHeight="1" x14ac:dyDescent="0.3"/>
    <row r="18" spans="2:4" x14ac:dyDescent="0.3">
      <c r="B18" s="2" t="s">
        <v>21</v>
      </c>
      <c r="C18" s="2"/>
      <c r="D18" s="2"/>
    </row>
    <row r="20" spans="2:4" x14ac:dyDescent="0.3">
      <c r="B20" t="s">
        <v>22</v>
      </c>
      <c r="C20" t="s">
        <v>23</v>
      </c>
      <c r="D20" t="s">
        <v>4</v>
      </c>
    </row>
    <row r="21" spans="2:4" x14ac:dyDescent="0.3">
      <c r="B21" t="s">
        <v>5</v>
      </c>
      <c r="C21" t="s">
        <v>24</v>
      </c>
      <c r="D21">
        <v>0</v>
      </c>
    </row>
    <row r="22" spans="2:4" x14ac:dyDescent="0.3">
      <c r="B22" t="s">
        <v>7</v>
      </c>
      <c r="C22" t="s">
        <v>25</v>
      </c>
      <c r="D22">
        <v>0.15</v>
      </c>
    </row>
    <row r="23" spans="2:4" x14ac:dyDescent="0.3">
      <c r="B23" t="s">
        <v>9</v>
      </c>
      <c r="C23" t="s">
        <v>25</v>
      </c>
      <c r="D23">
        <v>0.15</v>
      </c>
    </row>
    <row r="24" spans="2:4" x14ac:dyDescent="0.3">
      <c r="B24" t="s">
        <v>11</v>
      </c>
      <c r="C24" t="s">
        <v>26</v>
      </c>
      <c r="D24">
        <v>0.4</v>
      </c>
    </row>
    <row r="25" spans="2:4" x14ac:dyDescent="0.3">
      <c r="B25" t="s">
        <v>13</v>
      </c>
      <c r="C25" t="s">
        <v>26</v>
      </c>
      <c r="D25">
        <v>0.4</v>
      </c>
    </row>
    <row r="26" spans="2:4" x14ac:dyDescent="0.3">
      <c r="B26" t="s">
        <v>15</v>
      </c>
      <c r="C26" t="s">
        <v>27</v>
      </c>
      <c r="D26">
        <v>0.8</v>
      </c>
    </row>
    <row r="27" spans="2:4" x14ac:dyDescent="0.3">
      <c r="B27" t="s">
        <v>17</v>
      </c>
      <c r="C27" t="s">
        <v>27</v>
      </c>
      <c r="D27">
        <v>0.8</v>
      </c>
    </row>
    <row r="28" spans="2:4" x14ac:dyDescent="0.3">
      <c r="B28" t="s">
        <v>19</v>
      </c>
      <c r="C28" t="s">
        <v>28</v>
      </c>
      <c r="D28">
        <v>1</v>
      </c>
    </row>
    <row r="29" spans="2:4" x14ac:dyDescent="0.3">
      <c r="B29" t="s">
        <v>20</v>
      </c>
      <c r="C29" t="s">
        <v>28</v>
      </c>
      <c r="D29">
        <v>1</v>
      </c>
    </row>
  </sheetData>
  <pageMargins left="0.7" right="0.7" top="0.78749999999999998" bottom="0.78749999999999998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E32"/>
  <sheetViews>
    <sheetView zoomScaleNormal="100" workbookViewId="0">
      <selection activeCell="D11" sqref="D11"/>
    </sheetView>
  </sheetViews>
  <sheetFormatPr baseColWidth="10" defaultColWidth="10.6640625" defaultRowHeight="14.4" x14ac:dyDescent="0.3"/>
  <cols>
    <col min="2" max="2" width="13" customWidth="1"/>
    <col min="3" max="3" width="25" style="4" customWidth="1"/>
    <col min="4" max="5" width="19.33203125" customWidth="1"/>
  </cols>
  <sheetData>
    <row r="3" spans="2:5" x14ac:dyDescent="0.3">
      <c r="B3" s="1" t="s">
        <v>29</v>
      </c>
      <c r="C3" s="1"/>
      <c r="D3" s="1"/>
      <c r="E3" s="1"/>
    </row>
    <row r="5" spans="2:5" x14ac:dyDescent="0.3">
      <c r="B5" s="5" t="s">
        <v>30</v>
      </c>
      <c r="C5" s="6" t="s">
        <v>31</v>
      </c>
      <c r="D5" s="5" t="s">
        <v>32</v>
      </c>
    </row>
    <row r="6" spans="2:5" ht="28.5" customHeight="1" x14ac:dyDescent="0.3">
      <c r="B6" s="7" t="s">
        <v>33</v>
      </c>
      <c r="C6" s="8" t="s">
        <v>34</v>
      </c>
      <c r="D6" s="9">
        <v>20000</v>
      </c>
    </row>
    <row r="7" spans="2:5" ht="28.5" customHeight="1" x14ac:dyDescent="0.3">
      <c r="B7" s="7" t="s">
        <v>35</v>
      </c>
      <c r="C7" s="8" t="s">
        <v>36</v>
      </c>
      <c r="D7" s="9">
        <v>100000</v>
      </c>
    </row>
    <row r="8" spans="2:5" ht="36.75" customHeight="1" x14ac:dyDescent="0.3"/>
    <row r="9" spans="2:5" ht="14.25" customHeight="1" x14ac:dyDescent="0.3">
      <c r="C9" s="129" t="s">
        <v>37</v>
      </c>
      <c r="D9" s="129"/>
      <c r="E9" s="129"/>
    </row>
    <row r="10" spans="2:5" ht="15" customHeight="1" x14ac:dyDescent="0.3">
      <c r="C10" s="10" t="s">
        <v>38</v>
      </c>
      <c r="D10" s="11" t="s">
        <v>39</v>
      </c>
      <c r="E10" s="12" t="s">
        <v>40</v>
      </c>
    </row>
    <row r="11" spans="2:5" ht="29.25" customHeight="1" x14ac:dyDescent="0.3">
      <c r="B11" s="13" t="s">
        <v>41</v>
      </c>
      <c r="C11" s="14" t="s">
        <v>42</v>
      </c>
      <c r="D11" s="15" t="s">
        <v>43</v>
      </c>
      <c r="E11" s="16" t="s">
        <v>44</v>
      </c>
    </row>
    <row r="12" spans="2:5" x14ac:dyDescent="0.3">
      <c r="B12" s="17">
        <v>20000</v>
      </c>
      <c r="C12" s="18">
        <f t="shared" ref="C12:C32" si="0">($D$7-B12)/($D$7-$D$6)</f>
        <v>1</v>
      </c>
      <c r="D12" s="19">
        <f t="shared" ref="D12:D32" si="1">(($D$7-B12)/($D$7-$D$6))^0.5</f>
        <v>1</v>
      </c>
      <c r="E12" s="20">
        <f t="shared" ref="E12:E32" si="2">(($D$7-B12)/($D$7-$D$6))^2</f>
        <v>1</v>
      </c>
    </row>
    <row r="13" spans="2:5" x14ac:dyDescent="0.3">
      <c r="B13" s="17">
        <v>24000</v>
      </c>
      <c r="C13" s="21">
        <f t="shared" si="0"/>
        <v>0.95</v>
      </c>
      <c r="D13" s="22">
        <f t="shared" si="1"/>
        <v>0.97467943448089633</v>
      </c>
      <c r="E13" s="23">
        <f t="shared" si="2"/>
        <v>0.90249999999999997</v>
      </c>
    </row>
    <row r="14" spans="2:5" x14ac:dyDescent="0.3">
      <c r="B14" s="17">
        <v>28000</v>
      </c>
      <c r="C14" s="21">
        <f t="shared" si="0"/>
        <v>0.9</v>
      </c>
      <c r="D14" s="22">
        <f t="shared" si="1"/>
        <v>0.94868329805051377</v>
      </c>
      <c r="E14" s="23">
        <f t="shared" si="2"/>
        <v>0.81</v>
      </c>
    </row>
    <row r="15" spans="2:5" x14ac:dyDescent="0.3">
      <c r="B15" s="17">
        <v>32000</v>
      </c>
      <c r="C15" s="21">
        <f t="shared" si="0"/>
        <v>0.85</v>
      </c>
      <c r="D15" s="22">
        <f t="shared" si="1"/>
        <v>0.92195444572928875</v>
      </c>
      <c r="E15" s="23">
        <f t="shared" si="2"/>
        <v>0.72249999999999992</v>
      </c>
    </row>
    <row r="16" spans="2:5" x14ac:dyDescent="0.3">
      <c r="B16" s="17">
        <v>36000</v>
      </c>
      <c r="C16" s="21">
        <f t="shared" si="0"/>
        <v>0.8</v>
      </c>
      <c r="D16" s="22">
        <f t="shared" si="1"/>
        <v>0.89442719099991586</v>
      </c>
      <c r="E16" s="23">
        <f t="shared" si="2"/>
        <v>0.64000000000000012</v>
      </c>
    </row>
    <row r="17" spans="2:5" x14ac:dyDescent="0.3">
      <c r="B17" s="17">
        <v>40000</v>
      </c>
      <c r="C17" s="21">
        <f t="shared" si="0"/>
        <v>0.75</v>
      </c>
      <c r="D17" s="22">
        <f t="shared" si="1"/>
        <v>0.8660254037844386</v>
      </c>
      <c r="E17" s="23">
        <f t="shared" si="2"/>
        <v>0.5625</v>
      </c>
    </row>
    <row r="18" spans="2:5" x14ac:dyDescent="0.3">
      <c r="B18" s="17">
        <v>44000</v>
      </c>
      <c r="C18" s="21">
        <f t="shared" si="0"/>
        <v>0.7</v>
      </c>
      <c r="D18" s="22">
        <f t="shared" si="1"/>
        <v>0.83666002653407556</v>
      </c>
      <c r="E18" s="23">
        <f t="shared" si="2"/>
        <v>0.48999999999999994</v>
      </c>
    </row>
    <row r="19" spans="2:5" x14ac:dyDescent="0.3">
      <c r="B19" s="17">
        <v>48000</v>
      </c>
      <c r="C19" s="21">
        <f t="shared" si="0"/>
        <v>0.65</v>
      </c>
      <c r="D19" s="22">
        <f t="shared" si="1"/>
        <v>0.80622577482985502</v>
      </c>
      <c r="E19" s="23">
        <f t="shared" si="2"/>
        <v>0.42250000000000004</v>
      </c>
    </row>
    <row r="20" spans="2:5" x14ac:dyDescent="0.3">
      <c r="B20" s="17">
        <v>52000</v>
      </c>
      <c r="C20" s="21">
        <f t="shared" si="0"/>
        <v>0.6</v>
      </c>
      <c r="D20" s="22">
        <f t="shared" si="1"/>
        <v>0.7745966692414834</v>
      </c>
      <c r="E20" s="23">
        <f t="shared" si="2"/>
        <v>0.36</v>
      </c>
    </row>
    <row r="21" spans="2:5" x14ac:dyDescent="0.3">
      <c r="B21" s="17">
        <v>56000</v>
      </c>
      <c r="C21" s="21">
        <f t="shared" si="0"/>
        <v>0.55000000000000004</v>
      </c>
      <c r="D21" s="22">
        <f t="shared" si="1"/>
        <v>0.74161984870956632</v>
      </c>
      <c r="E21" s="23">
        <f t="shared" si="2"/>
        <v>0.30250000000000005</v>
      </c>
    </row>
    <row r="22" spans="2:5" x14ac:dyDescent="0.3">
      <c r="B22" s="17">
        <v>60000</v>
      </c>
      <c r="C22" s="21">
        <f t="shared" si="0"/>
        <v>0.5</v>
      </c>
      <c r="D22" s="22">
        <f t="shared" si="1"/>
        <v>0.70710678118654757</v>
      </c>
      <c r="E22" s="23">
        <f t="shared" si="2"/>
        <v>0.25</v>
      </c>
    </row>
    <row r="23" spans="2:5" x14ac:dyDescent="0.3">
      <c r="B23" s="17">
        <v>64000</v>
      </c>
      <c r="C23" s="21">
        <f t="shared" si="0"/>
        <v>0.45</v>
      </c>
      <c r="D23" s="22">
        <f t="shared" si="1"/>
        <v>0.67082039324993692</v>
      </c>
      <c r="E23" s="23">
        <f t="shared" si="2"/>
        <v>0.20250000000000001</v>
      </c>
    </row>
    <row r="24" spans="2:5" x14ac:dyDescent="0.3">
      <c r="B24" s="17">
        <v>68000</v>
      </c>
      <c r="C24" s="21">
        <f t="shared" si="0"/>
        <v>0.4</v>
      </c>
      <c r="D24" s="22">
        <f t="shared" si="1"/>
        <v>0.63245553203367588</v>
      </c>
      <c r="E24" s="23">
        <f t="shared" si="2"/>
        <v>0.16000000000000003</v>
      </c>
    </row>
    <row r="25" spans="2:5" x14ac:dyDescent="0.3">
      <c r="B25" s="17">
        <v>72000</v>
      </c>
      <c r="C25" s="21">
        <f t="shared" si="0"/>
        <v>0.35</v>
      </c>
      <c r="D25" s="22">
        <f t="shared" si="1"/>
        <v>0.59160797830996159</v>
      </c>
      <c r="E25" s="23">
        <f t="shared" si="2"/>
        <v>0.12249999999999998</v>
      </c>
    </row>
    <row r="26" spans="2:5" x14ac:dyDescent="0.3">
      <c r="B26" s="17">
        <v>76000</v>
      </c>
      <c r="C26" s="21">
        <f t="shared" si="0"/>
        <v>0.3</v>
      </c>
      <c r="D26" s="22">
        <f t="shared" si="1"/>
        <v>0.54772255750516607</v>
      </c>
      <c r="E26" s="23">
        <f t="shared" si="2"/>
        <v>0.09</v>
      </c>
    </row>
    <row r="27" spans="2:5" x14ac:dyDescent="0.3">
      <c r="B27" s="17">
        <v>80000</v>
      </c>
      <c r="C27" s="21">
        <f t="shared" si="0"/>
        <v>0.25</v>
      </c>
      <c r="D27" s="22">
        <f t="shared" si="1"/>
        <v>0.5</v>
      </c>
      <c r="E27" s="23">
        <f t="shared" si="2"/>
        <v>6.25E-2</v>
      </c>
    </row>
    <row r="28" spans="2:5" x14ac:dyDescent="0.3">
      <c r="B28" s="17">
        <v>84000</v>
      </c>
      <c r="C28" s="21">
        <f t="shared" si="0"/>
        <v>0.2</v>
      </c>
      <c r="D28" s="22">
        <f t="shared" si="1"/>
        <v>0.44721359549995793</v>
      </c>
      <c r="E28" s="23">
        <f t="shared" si="2"/>
        <v>4.0000000000000008E-2</v>
      </c>
    </row>
    <row r="29" spans="2:5" x14ac:dyDescent="0.3">
      <c r="B29" s="17">
        <v>88000</v>
      </c>
      <c r="C29" s="21">
        <f t="shared" si="0"/>
        <v>0.15</v>
      </c>
      <c r="D29" s="22">
        <f t="shared" si="1"/>
        <v>0.3872983346207417</v>
      </c>
      <c r="E29" s="23">
        <f t="shared" si="2"/>
        <v>2.2499999999999999E-2</v>
      </c>
    </row>
    <row r="30" spans="2:5" x14ac:dyDescent="0.3">
      <c r="B30" s="17">
        <v>92000</v>
      </c>
      <c r="C30" s="21">
        <f t="shared" si="0"/>
        <v>0.1</v>
      </c>
      <c r="D30" s="22">
        <f t="shared" si="1"/>
        <v>0.31622776601683794</v>
      </c>
      <c r="E30" s="23">
        <f t="shared" si="2"/>
        <v>1.0000000000000002E-2</v>
      </c>
    </row>
    <row r="31" spans="2:5" x14ac:dyDescent="0.3">
      <c r="B31" s="17">
        <v>96000</v>
      </c>
      <c r="C31" s="21">
        <f t="shared" si="0"/>
        <v>0.05</v>
      </c>
      <c r="D31" s="22">
        <f t="shared" si="1"/>
        <v>0.22360679774997896</v>
      </c>
      <c r="E31" s="23">
        <f t="shared" si="2"/>
        <v>2.5000000000000005E-3</v>
      </c>
    </row>
    <row r="32" spans="2:5" ht="15" customHeight="1" x14ac:dyDescent="0.3">
      <c r="B32" s="24">
        <v>100000</v>
      </c>
      <c r="C32" s="25">
        <f t="shared" si="0"/>
        <v>0</v>
      </c>
      <c r="D32" s="26">
        <f t="shared" si="1"/>
        <v>0</v>
      </c>
      <c r="E32" s="27">
        <f t="shared" si="2"/>
        <v>0</v>
      </c>
    </row>
  </sheetData>
  <mergeCells count="1">
    <mergeCell ref="C9:E9"/>
  </mergeCells>
  <pageMargins left="0.7" right="0.7" top="0.78749999999999998" bottom="0.78749999999999998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BBB59"/>
  </sheetPr>
  <dimension ref="B2:F24"/>
  <sheetViews>
    <sheetView tabSelected="1" zoomScale="120" zoomScaleNormal="120" workbookViewId="0">
      <selection activeCell="F29" sqref="F29"/>
    </sheetView>
  </sheetViews>
  <sheetFormatPr baseColWidth="10" defaultColWidth="10.6640625" defaultRowHeight="14.4" x14ac:dyDescent="0.3"/>
  <cols>
    <col min="2" max="2" width="20.44140625" customWidth="1"/>
    <col min="3" max="6" width="11.88671875" customWidth="1"/>
  </cols>
  <sheetData>
    <row r="2" spans="2:6" x14ac:dyDescent="0.3">
      <c r="B2" s="1" t="s">
        <v>45</v>
      </c>
      <c r="C2" s="1"/>
      <c r="D2" s="1"/>
      <c r="E2" s="1"/>
      <c r="F2" s="1"/>
    </row>
    <row r="4" spans="2:6" x14ac:dyDescent="0.3">
      <c r="B4" s="3" t="s">
        <v>46</v>
      </c>
      <c r="C4" s="3"/>
      <c r="D4" s="3"/>
      <c r="E4" s="3"/>
      <c r="F4" s="3"/>
    </row>
    <row r="5" spans="2:6" ht="15" customHeight="1" x14ac:dyDescent="0.3"/>
    <row r="6" spans="2:6" ht="43.5" customHeight="1" x14ac:dyDescent="0.3">
      <c r="C6" s="28" t="s">
        <v>47</v>
      </c>
      <c r="D6" s="29" t="s">
        <v>48</v>
      </c>
      <c r="E6" s="29" t="s">
        <v>49</v>
      </c>
      <c r="F6" s="30" t="s">
        <v>50</v>
      </c>
    </row>
    <row r="7" spans="2:6" ht="28.5" customHeight="1" x14ac:dyDescent="0.3">
      <c r="C7" s="31" t="s">
        <v>51</v>
      </c>
      <c r="D7" s="32">
        <v>90000</v>
      </c>
      <c r="E7" s="32">
        <v>60000</v>
      </c>
      <c r="F7" s="33">
        <v>30000</v>
      </c>
    </row>
    <row r="8" spans="2:6" x14ac:dyDescent="0.3">
      <c r="C8" s="34" t="s">
        <v>22</v>
      </c>
      <c r="D8" s="8" t="s">
        <v>5</v>
      </c>
      <c r="E8" s="8" t="s">
        <v>11</v>
      </c>
      <c r="F8" s="35" t="s">
        <v>15</v>
      </c>
    </row>
    <row r="9" spans="2:6" ht="29.25" customHeight="1" x14ac:dyDescent="0.3">
      <c r="C9" s="36" t="s">
        <v>52</v>
      </c>
      <c r="D9" s="37" t="str">
        <f>VLOOKUP(D8,'Discrete Utility Functions'!$B$21:$C$29,2,0)</f>
        <v>Very high</v>
      </c>
      <c r="E9" s="37" t="s">
        <v>26</v>
      </c>
      <c r="F9" s="38" t="s">
        <v>27</v>
      </c>
    </row>
    <row r="11" spans="2:6" x14ac:dyDescent="0.3">
      <c r="B11" s="3" t="s">
        <v>53</v>
      </c>
      <c r="C11" s="3"/>
      <c r="D11" s="3"/>
      <c r="E11" s="3"/>
      <c r="F11" s="3"/>
    </row>
    <row r="12" spans="2:6" ht="15" customHeight="1" x14ac:dyDescent="0.3"/>
    <row r="13" spans="2:6" ht="43.5" customHeight="1" x14ac:dyDescent="0.3">
      <c r="B13" s="28" t="s">
        <v>54</v>
      </c>
      <c r="C13" s="29" t="s">
        <v>47</v>
      </c>
      <c r="D13" s="29" t="s">
        <v>48</v>
      </c>
      <c r="E13" s="29" t="s">
        <v>49</v>
      </c>
      <c r="F13" s="30" t="s">
        <v>50</v>
      </c>
    </row>
    <row r="14" spans="2:6" ht="28.5" customHeight="1" x14ac:dyDescent="0.3">
      <c r="B14" s="39" t="s">
        <v>55</v>
      </c>
      <c r="C14" s="40" t="s">
        <v>51</v>
      </c>
      <c r="D14" s="40">
        <f>('Continuous Utility Functions'!$D$7-D7)/('Continuous Utility Functions'!$D$7-'Continuous Utility Functions'!$D$6)</f>
        <v>0.125</v>
      </c>
      <c r="E14" s="40">
        <f>('Continuous Utility Functions'!$D$7-E7)/('Continuous Utility Functions'!$D$7-'Continuous Utility Functions'!$D$6)</f>
        <v>0.5</v>
      </c>
      <c r="F14" s="41">
        <f>('Continuous Utility Functions'!$D$7-F7)/('Continuous Utility Functions'!$D$7-'Continuous Utility Functions'!$D$6)</f>
        <v>0.875</v>
      </c>
    </row>
    <row r="15" spans="2:6" x14ac:dyDescent="0.3">
      <c r="B15" s="42"/>
      <c r="C15" s="8" t="s">
        <v>22</v>
      </c>
      <c r="D15" s="7">
        <f>VLOOKUP(D8,lut_energy,3,0)</f>
        <v>1</v>
      </c>
      <c r="E15" s="7">
        <f>VLOOKUP(E8,lut_energy,3,0)</f>
        <v>0.55000000000000004</v>
      </c>
      <c r="F15" s="43">
        <f>VLOOKUP(F8,lut_energy,3,0)</f>
        <v>0.15</v>
      </c>
    </row>
    <row r="16" spans="2:6" ht="29.25" customHeight="1" x14ac:dyDescent="0.3">
      <c r="B16" s="44"/>
      <c r="C16" s="37" t="s">
        <v>52</v>
      </c>
      <c r="D16" s="45">
        <f>VLOOKUP(D9,lut_disruption,2,0)</f>
        <v>0</v>
      </c>
      <c r="E16" s="45">
        <f>VLOOKUP(E9,lut_disruption,2,0)</f>
        <v>0.4</v>
      </c>
      <c r="F16" s="46">
        <f>VLOOKUP(F9,lut_disruption,2,0)</f>
        <v>0.8</v>
      </c>
    </row>
    <row r="17" spans="2:6" x14ac:dyDescent="0.3">
      <c r="C17" s="47"/>
      <c r="D17" s="47"/>
      <c r="E17" s="47"/>
      <c r="F17" s="47"/>
    </row>
    <row r="18" spans="2:6" x14ac:dyDescent="0.3">
      <c r="B18" s="3" t="s">
        <v>56</v>
      </c>
      <c r="C18" s="3"/>
      <c r="D18" s="3"/>
      <c r="E18" s="3"/>
      <c r="F18" s="3"/>
    </row>
    <row r="19" spans="2:6" ht="15" customHeight="1" x14ac:dyDescent="0.3"/>
    <row r="20" spans="2:6" ht="15" customHeight="1" x14ac:dyDescent="0.3">
      <c r="B20" s="48" t="s">
        <v>57</v>
      </c>
      <c r="C20" s="49" t="s">
        <v>58</v>
      </c>
      <c r="D20" s="49" t="s">
        <v>59</v>
      </c>
      <c r="E20" s="49" t="s">
        <v>60</v>
      </c>
      <c r="F20" s="50" t="s">
        <v>61</v>
      </c>
    </row>
    <row r="21" spans="2:6" x14ac:dyDescent="0.3">
      <c r="B21" s="31" t="s">
        <v>51</v>
      </c>
      <c r="C21" s="51">
        <v>0.3</v>
      </c>
      <c r="D21" s="52">
        <f t="shared" ref="D21:F23" si="0">$C21*D14</f>
        <v>3.7499999999999999E-2</v>
      </c>
      <c r="E21" s="52">
        <f t="shared" si="0"/>
        <v>0.15</v>
      </c>
      <c r="F21" s="53">
        <f t="shared" si="0"/>
        <v>0.26250000000000001</v>
      </c>
    </row>
    <row r="22" spans="2:6" x14ac:dyDescent="0.3">
      <c r="B22" s="34" t="s">
        <v>22</v>
      </c>
      <c r="C22" s="54">
        <v>0.6</v>
      </c>
      <c r="D22" s="55">
        <f t="shared" si="0"/>
        <v>0.6</v>
      </c>
      <c r="E22" s="55">
        <f t="shared" si="0"/>
        <v>0.33</v>
      </c>
      <c r="F22" s="56">
        <f t="shared" si="0"/>
        <v>0.09</v>
      </c>
    </row>
    <row r="23" spans="2:6" x14ac:dyDescent="0.3">
      <c r="B23" s="34" t="s">
        <v>52</v>
      </c>
      <c r="C23" s="54">
        <v>0.1</v>
      </c>
      <c r="D23" s="55">
        <f t="shared" si="0"/>
        <v>0</v>
      </c>
      <c r="E23" s="55">
        <f t="shared" si="0"/>
        <v>4.0000000000000008E-2</v>
      </c>
      <c r="F23" s="56">
        <f t="shared" si="0"/>
        <v>8.0000000000000016E-2</v>
      </c>
    </row>
    <row r="24" spans="2:6" ht="15" customHeight="1" x14ac:dyDescent="0.3">
      <c r="B24" s="44" t="s">
        <v>62</v>
      </c>
      <c r="C24" s="57">
        <f>SUM(C21:C23)</f>
        <v>0.99999999999999989</v>
      </c>
      <c r="D24" s="58">
        <f>SUM(D21:D23)</f>
        <v>0.63749999999999996</v>
      </c>
      <c r="E24" s="58">
        <f>SUM(E21:E23)</f>
        <v>0.52</v>
      </c>
      <c r="F24" s="59">
        <f>SUM(F21:F23)</f>
        <v>0.43250000000000005</v>
      </c>
    </row>
  </sheetData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01BE8-1F17-4050-9FE0-0719F11E2A88}">
  <dimension ref="B2:T26"/>
  <sheetViews>
    <sheetView zoomScale="115" zoomScaleNormal="115" workbookViewId="0">
      <selection activeCell="D11" sqref="D11:D26"/>
    </sheetView>
  </sheetViews>
  <sheetFormatPr baseColWidth="10" defaultRowHeight="14.4" x14ac:dyDescent="0.3"/>
  <cols>
    <col min="1" max="1" width="11.5546875" style="60"/>
    <col min="2" max="2" width="5.33203125" style="60" customWidth="1"/>
    <col min="3" max="3" width="12.44140625" style="60" bestFit="1" customWidth="1"/>
    <col min="4" max="4" width="13.88671875" style="60" customWidth="1"/>
    <col min="5" max="5" width="11.5546875" style="60"/>
    <col min="6" max="6" width="1.77734375" style="70" customWidth="1"/>
    <col min="7" max="7" width="11.5546875" style="60"/>
    <col min="8" max="8" width="14.109375" style="60" customWidth="1"/>
    <col min="9" max="9" width="11.5546875" style="60"/>
    <col min="10" max="10" width="6" style="60" customWidth="1"/>
    <col min="11" max="20" width="4.88671875" style="60" customWidth="1"/>
    <col min="21" max="16384" width="11.5546875" style="60"/>
  </cols>
  <sheetData>
    <row r="2" spans="2:20" s="88" customFormat="1" x14ac:dyDescent="0.3">
      <c r="B2" s="139" t="s">
        <v>86</v>
      </c>
      <c r="C2" s="139"/>
      <c r="D2" s="139"/>
      <c r="F2" s="89"/>
      <c r="H2" s="128" t="s">
        <v>87</v>
      </c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</row>
    <row r="4" spans="2:20" x14ac:dyDescent="0.3">
      <c r="H4" s="69" t="s">
        <v>82</v>
      </c>
      <c r="I4" s="61">
        <v>1</v>
      </c>
    </row>
    <row r="5" spans="2:20" x14ac:dyDescent="0.3">
      <c r="C5" s="69" t="s">
        <v>80</v>
      </c>
      <c r="D5" s="63">
        <v>1</v>
      </c>
      <c r="H5" s="69" t="s">
        <v>83</v>
      </c>
      <c r="I5" s="61">
        <v>0</v>
      </c>
    </row>
    <row r="6" spans="2:20" x14ac:dyDescent="0.3">
      <c r="C6" s="69" t="s">
        <v>78</v>
      </c>
      <c r="D6" s="63">
        <v>5</v>
      </c>
      <c r="H6" s="69" t="s">
        <v>84</v>
      </c>
      <c r="I6" s="61">
        <v>0.6</v>
      </c>
    </row>
    <row r="7" spans="2:20" x14ac:dyDescent="0.3">
      <c r="C7" s="69" t="s">
        <v>79</v>
      </c>
      <c r="D7" s="63">
        <f>D5*D6</f>
        <v>5</v>
      </c>
      <c r="H7" s="69" t="s">
        <v>85</v>
      </c>
      <c r="I7" s="61">
        <v>0.6</v>
      </c>
    </row>
    <row r="9" spans="2:20" ht="15" thickBot="1" x14ac:dyDescent="0.35">
      <c r="D9" s="88" t="s">
        <v>81</v>
      </c>
    </row>
    <row r="10" spans="2:20" ht="15" thickBot="1" x14ac:dyDescent="0.35">
      <c r="C10" s="62"/>
      <c r="D10" s="62">
        <f>D7</f>
        <v>5</v>
      </c>
      <c r="J10" s="133" t="s">
        <v>83</v>
      </c>
      <c r="K10" s="134"/>
      <c r="L10" s="134"/>
      <c r="M10" s="134"/>
      <c r="N10" s="134"/>
      <c r="O10" s="134"/>
      <c r="P10" s="134"/>
      <c r="Q10" s="134"/>
      <c r="R10" s="134"/>
      <c r="S10" s="134"/>
      <c r="T10" s="135"/>
    </row>
    <row r="11" spans="2:20" ht="15" thickBot="1" x14ac:dyDescent="0.35">
      <c r="B11" s="130" t="s">
        <v>80</v>
      </c>
      <c r="C11" s="76">
        <v>1</v>
      </c>
      <c r="D11" s="66"/>
      <c r="I11" s="62">
        <f>SUMPRODUCT(I4:I5,I6:I7)</f>
        <v>0.6</v>
      </c>
      <c r="J11" s="81">
        <f>1-I12</f>
        <v>1</v>
      </c>
      <c r="K11" s="79">
        <f>1-I13</f>
        <v>0.9</v>
      </c>
      <c r="L11" s="79">
        <f>1-I14</f>
        <v>0.8</v>
      </c>
      <c r="M11" s="79">
        <f>1-I15</f>
        <v>0.7</v>
      </c>
      <c r="N11" s="79">
        <f>1-I16</f>
        <v>0.6</v>
      </c>
      <c r="O11" s="79">
        <f>1-I17</f>
        <v>0.5</v>
      </c>
      <c r="P11" s="79">
        <f>1-I18</f>
        <v>0.4</v>
      </c>
      <c r="Q11" s="79">
        <f>1-I19</f>
        <v>0.30000000000000004</v>
      </c>
      <c r="R11" s="79">
        <f>1-I20</f>
        <v>0.19999999999999996</v>
      </c>
      <c r="S11" s="79">
        <f>1-I21</f>
        <v>9.9999999999999978E-2</v>
      </c>
      <c r="T11" s="78">
        <f>1-I22</f>
        <v>0</v>
      </c>
    </row>
    <row r="12" spans="2:20" ht="15" thickBot="1" x14ac:dyDescent="0.35">
      <c r="B12" s="131"/>
      <c r="C12" s="77">
        <v>2</v>
      </c>
      <c r="D12" s="67"/>
      <c r="H12" s="136" t="s">
        <v>82</v>
      </c>
      <c r="I12" s="80">
        <v>0</v>
      </c>
      <c r="J12" s="87"/>
      <c r="K12" s="82"/>
      <c r="L12" s="74"/>
      <c r="M12" s="74"/>
      <c r="N12" s="74"/>
      <c r="O12" s="74"/>
      <c r="P12" s="74"/>
      <c r="Q12" s="74"/>
      <c r="R12" s="74"/>
      <c r="S12" s="74"/>
      <c r="T12" s="64"/>
    </row>
    <row r="13" spans="2:20" ht="15" thickBot="1" x14ac:dyDescent="0.35">
      <c r="B13" s="131"/>
      <c r="C13" s="77">
        <v>3</v>
      </c>
      <c r="D13" s="67"/>
      <c r="H13" s="137"/>
      <c r="I13" s="77">
        <v>0.1</v>
      </c>
      <c r="J13" s="84"/>
      <c r="K13" s="87"/>
      <c r="L13" s="71"/>
      <c r="M13" s="63"/>
      <c r="N13" s="63"/>
      <c r="O13" s="63"/>
      <c r="P13" s="63"/>
      <c r="Q13" s="63"/>
      <c r="R13" s="63"/>
      <c r="S13" s="63"/>
      <c r="T13" s="65"/>
    </row>
    <row r="14" spans="2:20" ht="15" thickBot="1" x14ac:dyDescent="0.35">
      <c r="B14" s="131"/>
      <c r="C14" s="77">
        <v>4</v>
      </c>
      <c r="D14" s="67"/>
      <c r="H14" s="137"/>
      <c r="I14" s="77">
        <v>0.2</v>
      </c>
      <c r="J14" s="75"/>
      <c r="K14" s="85"/>
      <c r="L14" s="87"/>
      <c r="M14" s="71"/>
      <c r="N14" s="63"/>
      <c r="O14" s="63"/>
      <c r="P14" s="63"/>
      <c r="Q14" s="63"/>
      <c r="R14" s="63"/>
      <c r="S14" s="63"/>
      <c r="T14" s="65"/>
    </row>
    <row r="15" spans="2:20" ht="15" thickBot="1" x14ac:dyDescent="0.35">
      <c r="B15" s="131"/>
      <c r="C15" s="77">
        <v>5</v>
      </c>
      <c r="D15" s="67"/>
      <c r="H15" s="137"/>
      <c r="I15" s="77">
        <v>0.3</v>
      </c>
      <c r="J15" s="75"/>
      <c r="K15" s="63"/>
      <c r="L15" s="85"/>
      <c r="M15" s="87"/>
      <c r="N15" s="71"/>
      <c r="O15" s="63"/>
      <c r="P15" s="63"/>
      <c r="Q15" s="63"/>
      <c r="R15" s="63"/>
      <c r="S15" s="63"/>
      <c r="T15" s="65"/>
    </row>
    <row r="16" spans="2:20" ht="15" thickBot="1" x14ac:dyDescent="0.35">
      <c r="B16" s="131"/>
      <c r="C16" s="77">
        <v>6</v>
      </c>
      <c r="D16" s="67"/>
      <c r="H16" s="137"/>
      <c r="I16" s="77">
        <v>0.4</v>
      </c>
      <c r="J16" s="75"/>
      <c r="K16" s="63"/>
      <c r="L16" s="63"/>
      <c r="M16" s="85"/>
      <c r="N16" s="87"/>
      <c r="O16" s="71"/>
      <c r="P16" s="63"/>
      <c r="Q16" s="63"/>
      <c r="R16" s="63"/>
      <c r="S16" s="63"/>
      <c r="T16" s="65"/>
    </row>
    <row r="17" spans="2:20" ht="15" thickBot="1" x14ac:dyDescent="0.35">
      <c r="B17" s="131"/>
      <c r="C17" s="77">
        <v>7</v>
      </c>
      <c r="D17" s="67"/>
      <c r="H17" s="137"/>
      <c r="I17" s="77">
        <v>0.5</v>
      </c>
      <c r="J17" s="75"/>
      <c r="K17" s="63"/>
      <c r="L17" s="63"/>
      <c r="M17" s="63"/>
      <c r="N17" s="85"/>
      <c r="O17" s="87"/>
      <c r="P17" s="71"/>
      <c r="Q17" s="63"/>
      <c r="R17" s="63"/>
      <c r="S17" s="63"/>
      <c r="T17" s="65"/>
    </row>
    <row r="18" spans="2:20" ht="15" thickBot="1" x14ac:dyDescent="0.35">
      <c r="B18" s="131"/>
      <c r="C18" s="77">
        <v>8</v>
      </c>
      <c r="D18" s="67"/>
      <c r="H18" s="137"/>
      <c r="I18" s="77">
        <v>0.6</v>
      </c>
      <c r="J18" s="75"/>
      <c r="K18" s="63"/>
      <c r="L18" s="63"/>
      <c r="M18" s="63"/>
      <c r="N18" s="63"/>
      <c r="O18" s="85"/>
      <c r="P18" s="87"/>
      <c r="Q18" s="71"/>
      <c r="R18" s="63"/>
      <c r="S18" s="63"/>
      <c r="T18" s="65"/>
    </row>
    <row r="19" spans="2:20" ht="15" thickBot="1" x14ac:dyDescent="0.35">
      <c r="B19" s="131"/>
      <c r="C19" s="77">
        <v>9</v>
      </c>
      <c r="D19" s="67"/>
      <c r="H19" s="137"/>
      <c r="I19" s="77">
        <v>0.7</v>
      </c>
      <c r="J19" s="75"/>
      <c r="K19" s="63"/>
      <c r="L19" s="63"/>
      <c r="M19" s="63"/>
      <c r="N19" s="63"/>
      <c r="O19" s="63"/>
      <c r="P19" s="85"/>
      <c r="Q19" s="87"/>
      <c r="R19" s="71"/>
      <c r="S19" s="63"/>
      <c r="T19" s="65"/>
    </row>
    <row r="20" spans="2:20" ht="15" thickBot="1" x14ac:dyDescent="0.35">
      <c r="B20" s="131"/>
      <c r="C20" s="77">
        <v>10</v>
      </c>
      <c r="D20" s="67"/>
      <c r="H20" s="137"/>
      <c r="I20" s="77">
        <v>0.8</v>
      </c>
      <c r="J20" s="75"/>
      <c r="K20" s="63"/>
      <c r="L20" s="63"/>
      <c r="M20" s="63"/>
      <c r="N20" s="63"/>
      <c r="O20" s="63"/>
      <c r="P20" s="63"/>
      <c r="Q20" s="85"/>
      <c r="R20" s="87"/>
      <c r="S20" s="71"/>
      <c r="T20" s="65"/>
    </row>
    <row r="21" spans="2:20" ht="15" thickBot="1" x14ac:dyDescent="0.35">
      <c r="B21" s="131"/>
      <c r="C21" s="77">
        <v>11</v>
      </c>
      <c r="D21" s="67"/>
      <c r="H21" s="137"/>
      <c r="I21" s="77">
        <v>0.9</v>
      </c>
      <c r="J21" s="75"/>
      <c r="K21" s="63"/>
      <c r="L21" s="63"/>
      <c r="M21" s="63"/>
      <c r="N21" s="63"/>
      <c r="O21" s="63"/>
      <c r="P21" s="63"/>
      <c r="Q21" s="63"/>
      <c r="R21" s="85"/>
      <c r="S21" s="87"/>
      <c r="T21" s="83"/>
    </row>
    <row r="22" spans="2:20" ht="15" thickBot="1" x14ac:dyDescent="0.35">
      <c r="B22" s="131"/>
      <c r="C22" s="77">
        <v>12</v>
      </c>
      <c r="D22" s="67"/>
      <c r="H22" s="138"/>
      <c r="I22" s="78">
        <v>1</v>
      </c>
      <c r="J22" s="72"/>
      <c r="K22" s="73"/>
      <c r="L22" s="73"/>
      <c r="M22" s="73"/>
      <c r="N22" s="73"/>
      <c r="O22" s="73"/>
      <c r="P22" s="73"/>
      <c r="Q22" s="73"/>
      <c r="R22" s="73"/>
      <c r="S22" s="86"/>
      <c r="T22" s="87"/>
    </row>
    <row r="23" spans="2:20" x14ac:dyDescent="0.3">
      <c r="B23" s="131"/>
      <c r="C23" s="77">
        <v>13</v>
      </c>
      <c r="D23" s="67"/>
    </row>
    <row r="24" spans="2:20" x14ac:dyDescent="0.3">
      <c r="B24" s="131"/>
      <c r="C24" s="77">
        <v>14</v>
      </c>
      <c r="D24" s="67"/>
    </row>
    <row r="25" spans="2:20" x14ac:dyDescent="0.3">
      <c r="B25" s="131"/>
      <c r="C25" s="77">
        <v>15</v>
      </c>
      <c r="D25" s="67"/>
    </row>
    <row r="26" spans="2:20" ht="15" thickBot="1" x14ac:dyDescent="0.35">
      <c r="B26" s="132"/>
      <c r="C26" s="78">
        <v>16</v>
      </c>
      <c r="D26" s="68"/>
    </row>
  </sheetData>
  <mergeCells count="5">
    <mergeCell ref="B11:B26"/>
    <mergeCell ref="J10:T10"/>
    <mergeCell ref="H12:H22"/>
    <mergeCell ref="B2:D2"/>
    <mergeCell ref="H2:T2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 tint="0.59999389629810485"/>
  </sheetPr>
  <dimension ref="B2:M18"/>
  <sheetViews>
    <sheetView zoomScale="145" zoomScaleNormal="145" workbookViewId="0">
      <selection activeCell="E18" sqref="E18"/>
    </sheetView>
  </sheetViews>
  <sheetFormatPr baseColWidth="10" defaultColWidth="8.6640625" defaultRowHeight="14.4" x14ac:dyDescent="0.3"/>
  <cols>
    <col min="2" max="2" width="3.5546875" style="90" customWidth="1"/>
    <col min="3" max="3" width="30" customWidth="1"/>
    <col min="4" max="6" width="11" customWidth="1"/>
    <col min="7" max="7" width="13" customWidth="1"/>
    <col min="8" max="10" width="14" customWidth="1"/>
  </cols>
  <sheetData>
    <row r="2" spans="2:13" ht="25.5" customHeight="1" x14ac:dyDescent="0.3">
      <c r="B2" s="128" t="s">
        <v>63</v>
      </c>
      <c r="C2" s="128"/>
      <c r="D2" s="128"/>
      <c r="E2" s="128"/>
      <c r="F2" s="128"/>
      <c r="G2" s="128"/>
      <c r="H2" s="128"/>
      <c r="I2" s="128"/>
      <c r="J2" s="128"/>
    </row>
    <row r="3" spans="2:13" ht="27" customHeight="1" thickBot="1" x14ac:dyDescent="0.35"/>
    <row r="4" spans="2:13" ht="70.2" customHeight="1" thickBot="1" x14ac:dyDescent="0.35">
      <c r="B4" s="126" t="s">
        <v>64</v>
      </c>
      <c r="C4" s="127"/>
      <c r="D4" s="102" t="s">
        <v>65</v>
      </c>
      <c r="E4" s="114" t="s">
        <v>66</v>
      </c>
      <c r="F4" s="115" t="s">
        <v>67</v>
      </c>
      <c r="G4" s="116" t="s">
        <v>88</v>
      </c>
      <c r="H4" s="117" t="s">
        <v>68</v>
      </c>
      <c r="I4" s="114" t="s">
        <v>69</v>
      </c>
      <c r="J4" s="103" t="s">
        <v>70</v>
      </c>
      <c r="K4" s="102" t="s">
        <v>93</v>
      </c>
      <c r="L4" s="114" t="s">
        <v>94</v>
      </c>
      <c r="M4" s="115" t="s">
        <v>95</v>
      </c>
    </row>
    <row r="5" spans="2:13" ht="18" customHeight="1" x14ac:dyDescent="0.3">
      <c r="B5" s="123">
        <v>1</v>
      </c>
      <c r="C5" s="104" t="s">
        <v>71</v>
      </c>
      <c r="D5" s="101">
        <v>0.3</v>
      </c>
      <c r="E5" s="92">
        <v>0.6</v>
      </c>
      <c r="F5" s="110">
        <v>0.1</v>
      </c>
      <c r="G5" s="111">
        <f t="shared" ref="G5:G15" si="0">SUM(D5:F5)</f>
        <v>0.99999999999999989</v>
      </c>
      <c r="H5" s="107">
        <f>ROUND($D5*MCUA!$D$14+$E5*MCUA!$D$15+$F5*MCUA!$D$16,2)</f>
        <v>0.64</v>
      </c>
      <c r="I5" s="93">
        <f>ROUND(D5*MCUA!$E$14+E5*MCUA!$E$15+F5*MCUA!$E$16,2)</f>
        <v>0.52</v>
      </c>
      <c r="J5" s="119">
        <f>ROUND(D5*MCUA!$F$14+E5*MCUA!$F$15+F5*MCUA!$F$16,2)</f>
        <v>0.43</v>
      </c>
      <c r="K5" s="122">
        <f>_xlfn.RANK.EQ(H5,$H5:$J5)</f>
        <v>1</v>
      </c>
      <c r="L5" s="51">
        <f t="shared" ref="L5:M5" si="1">_xlfn.RANK.EQ(I5,$H5:$J5)</f>
        <v>2</v>
      </c>
      <c r="M5" s="94">
        <f t="shared" si="1"/>
        <v>3</v>
      </c>
    </row>
    <row r="6" spans="2:13" ht="18" customHeight="1" x14ac:dyDescent="0.3">
      <c r="B6" s="124">
        <v>2</v>
      </c>
      <c r="C6" s="105" t="s">
        <v>72</v>
      </c>
      <c r="D6" s="95">
        <v>0.33333333333333298</v>
      </c>
      <c r="E6" s="55">
        <v>0.33333333333333298</v>
      </c>
      <c r="F6" s="56">
        <v>0.33333333333333298</v>
      </c>
      <c r="G6" s="112">
        <f t="shared" si="0"/>
        <v>0.99999999999999889</v>
      </c>
      <c r="H6" s="108">
        <f>ROUND($D6*MCUA!$D$14+$E6*MCUA!$D$15+$F6*MCUA!$D$16,2)</f>
        <v>0.38</v>
      </c>
      <c r="I6" s="54">
        <f>ROUND(D6*MCUA!$E$14+E6*MCUA!$E$15+F6*MCUA!$E$16,2)</f>
        <v>0.48</v>
      </c>
      <c r="J6" s="120">
        <f>ROUND(D6*MCUA!$F$14+E6*MCUA!$F$15+F6*MCUA!$F$16,2)</f>
        <v>0.61</v>
      </c>
      <c r="K6" s="99">
        <f t="shared" ref="K6:K15" si="2">_xlfn.RANK.EQ(H6,$H6:$J6)</f>
        <v>3</v>
      </c>
      <c r="L6" s="54">
        <f t="shared" ref="L6:L15" si="3">_xlfn.RANK.EQ(I6,$H6:$J6)</f>
        <v>2</v>
      </c>
      <c r="M6" s="96">
        <f t="shared" ref="M6:M15" si="4">_xlfn.RANK.EQ(J6,$H6:$J6)</f>
        <v>1</v>
      </c>
    </row>
    <row r="7" spans="2:13" ht="18" customHeight="1" x14ac:dyDescent="0.3">
      <c r="B7" s="124">
        <v>3</v>
      </c>
      <c r="C7" s="105" t="s">
        <v>73</v>
      </c>
      <c r="D7" s="95">
        <v>0.7</v>
      </c>
      <c r="E7" s="55">
        <v>0.2</v>
      </c>
      <c r="F7" s="56">
        <v>0.1</v>
      </c>
      <c r="G7" s="112">
        <f t="shared" si="0"/>
        <v>0.99999999999999989</v>
      </c>
      <c r="H7" s="108">
        <f>ROUND($D7*MCUA!$D$14+$E7*MCUA!$D$15+$F7*MCUA!$D$16,2)</f>
        <v>0.28999999999999998</v>
      </c>
      <c r="I7" s="54">
        <f>ROUND(D7*MCUA!$E$14+E7*MCUA!$E$15+F7*MCUA!$E$16,2)</f>
        <v>0.5</v>
      </c>
      <c r="J7" s="120">
        <f>ROUND(D7*MCUA!$F$14+E7*MCUA!$F$15+F7*MCUA!$F$16,2)</f>
        <v>0.72</v>
      </c>
      <c r="K7" s="99">
        <f t="shared" si="2"/>
        <v>3</v>
      </c>
      <c r="L7" s="54">
        <f t="shared" si="3"/>
        <v>2</v>
      </c>
      <c r="M7" s="96">
        <f t="shared" si="4"/>
        <v>1</v>
      </c>
    </row>
    <row r="8" spans="2:13" ht="18" customHeight="1" x14ac:dyDescent="0.3">
      <c r="B8" s="124">
        <v>4</v>
      </c>
      <c r="C8" s="105" t="s">
        <v>89</v>
      </c>
      <c r="D8" s="95">
        <v>0.8</v>
      </c>
      <c r="E8" s="55">
        <v>0.1</v>
      </c>
      <c r="F8" s="56">
        <v>0.1</v>
      </c>
      <c r="G8" s="112">
        <f t="shared" si="0"/>
        <v>1</v>
      </c>
      <c r="H8" s="108">
        <f>ROUND($D8*MCUA!$D$14+$E8*MCUA!$D$15+$F8*MCUA!$D$16,2)</f>
        <v>0.2</v>
      </c>
      <c r="I8" s="54">
        <f>ROUND(D8*MCUA!$E$14+E8*MCUA!$E$15+F8*MCUA!$E$16,2)</f>
        <v>0.5</v>
      </c>
      <c r="J8" s="120">
        <f>ROUND(D8*MCUA!$F$14+E8*MCUA!$F$15+F8*MCUA!$F$16,2)</f>
        <v>0.8</v>
      </c>
      <c r="K8" s="99">
        <f t="shared" si="2"/>
        <v>3</v>
      </c>
      <c r="L8" s="54">
        <f t="shared" si="3"/>
        <v>2</v>
      </c>
      <c r="M8" s="96">
        <f t="shared" si="4"/>
        <v>1</v>
      </c>
    </row>
    <row r="9" spans="2:13" ht="18" customHeight="1" x14ac:dyDescent="0.3">
      <c r="B9" s="124">
        <v>5</v>
      </c>
      <c r="C9" s="105" t="s">
        <v>74</v>
      </c>
      <c r="D9" s="95">
        <v>0.2</v>
      </c>
      <c r="E9" s="55">
        <v>0.7</v>
      </c>
      <c r="F9" s="56">
        <v>0.1</v>
      </c>
      <c r="G9" s="112">
        <f t="shared" si="0"/>
        <v>0.99999999999999989</v>
      </c>
      <c r="H9" s="108">
        <f>ROUND($D9*MCUA!$D$14+$E9*MCUA!$D$15+$F9*MCUA!$D$16,2)</f>
        <v>0.73</v>
      </c>
      <c r="I9" s="54">
        <f>ROUND(D9*MCUA!$E$14+E9*MCUA!$E$15+F9*MCUA!$E$16,2)</f>
        <v>0.53</v>
      </c>
      <c r="J9" s="120">
        <f>ROUND(D9*MCUA!$F$14+E9*MCUA!$F$15+F9*MCUA!$F$16,2)</f>
        <v>0.36</v>
      </c>
      <c r="K9" s="99">
        <f t="shared" si="2"/>
        <v>1</v>
      </c>
      <c r="L9" s="54">
        <f t="shared" si="3"/>
        <v>2</v>
      </c>
      <c r="M9" s="96">
        <f t="shared" si="4"/>
        <v>3</v>
      </c>
    </row>
    <row r="10" spans="2:13" ht="18" customHeight="1" x14ac:dyDescent="0.3">
      <c r="B10" s="124">
        <v>6</v>
      </c>
      <c r="C10" s="105" t="s">
        <v>75</v>
      </c>
      <c r="D10" s="95">
        <v>0.2</v>
      </c>
      <c r="E10" s="55">
        <v>0.1</v>
      </c>
      <c r="F10" s="56">
        <v>0.7</v>
      </c>
      <c r="G10" s="112">
        <f t="shared" si="0"/>
        <v>1</v>
      </c>
      <c r="H10" s="108">
        <f>ROUND($D10*MCUA!$D$14+$E10*MCUA!$D$15+$F10*MCUA!$D$16,2)</f>
        <v>0.13</v>
      </c>
      <c r="I10" s="54">
        <f>ROUND(D10*MCUA!$E$14+E10*MCUA!$E$15+F10*MCUA!$E$16,2)</f>
        <v>0.44</v>
      </c>
      <c r="J10" s="120">
        <f>ROUND(D10*MCUA!$F$14+E10*MCUA!$F$15+F10*MCUA!$F$16,2)</f>
        <v>0.75</v>
      </c>
      <c r="K10" s="99">
        <f t="shared" si="2"/>
        <v>3</v>
      </c>
      <c r="L10" s="54">
        <f t="shared" si="3"/>
        <v>2</v>
      </c>
      <c r="M10" s="96">
        <f t="shared" si="4"/>
        <v>1</v>
      </c>
    </row>
    <row r="11" spans="2:13" ht="18" customHeight="1" x14ac:dyDescent="0.3">
      <c r="B11" s="124">
        <v>7</v>
      </c>
      <c r="C11" s="105" t="s">
        <v>90</v>
      </c>
      <c r="D11" s="95">
        <v>0.45</v>
      </c>
      <c r="E11" s="55">
        <v>0.45</v>
      </c>
      <c r="F11" s="56">
        <v>0.1</v>
      </c>
      <c r="G11" s="112">
        <f t="shared" si="0"/>
        <v>1</v>
      </c>
      <c r="H11" s="108">
        <f>ROUND($D11*MCUA!$D$14+$E11*MCUA!$D$15+$F11*MCUA!$D$16,2)</f>
        <v>0.51</v>
      </c>
      <c r="I11" s="54">
        <f>ROUND(D11*MCUA!$E$14+E11*MCUA!$E$15+F11*MCUA!$E$16,2)</f>
        <v>0.51</v>
      </c>
      <c r="J11" s="120">
        <f>ROUND(D11*MCUA!$F$14+E11*MCUA!$F$15+F11*MCUA!$F$16,2)</f>
        <v>0.54</v>
      </c>
      <c r="K11" s="99">
        <f t="shared" si="2"/>
        <v>2</v>
      </c>
      <c r="L11" s="54">
        <f t="shared" si="3"/>
        <v>2</v>
      </c>
      <c r="M11" s="96">
        <f t="shared" si="4"/>
        <v>1</v>
      </c>
    </row>
    <row r="12" spans="2:13" ht="18" customHeight="1" x14ac:dyDescent="0.3">
      <c r="B12" s="124">
        <v>8</v>
      </c>
      <c r="C12" s="105" t="s">
        <v>91</v>
      </c>
      <c r="D12" s="95">
        <v>0.45</v>
      </c>
      <c r="E12" s="55">
        <v>0.1</v>
      </c>
      <c r="F12" s="56">
        <v>0.45</v>
      </c>
      <c r="G12" s="112">
        <f t="shared" si="0"/>
        <v>1</v>
      </c>
      <c r="H12" s="108">
        <f>ROUND($D12*MCUA!$D$14+$E12*MCUA!$D$15+$F12*MCUA!$D$16,2)</f>
        <v>0.16</v>
      </c>
      <c r="I12" s="54">
        <f>ROUND(D12*MCUA!$E$14+E12*MCUA!$E$15+F12*MCUA!$E$16,2)</f>
        <v>0.46</v>
      </c>
      <c r="J12" s="120">
        <f>ROUND(D12*MCUA!$F$14+E12*MCUA!$F$15+F12*MCUA!$F$16,2)</f>
        <v>0.77</v>
      </c>
      <c r="K12" s="99">
        <f t="shared" si="2"/>
        <v>3</v>
      </c>
      <c r="L12" s="54">
        <f t="shared" si="3"/>
        <v>2</v>
      </c>
      <c r="M12" s="96">
        <f t="shared" si="4"/>
        <v>1</v>
      </c>
    </row>
    <row r="13" spans="2:13" ht="18" customHeight="1" x14ac:dyDescent="0.3">
      <c r="B13" s="124">
        <v>9</v>
      </c>
      <c r="C13" s="105" t="s">
        <v>92</v>
      </c>
      <c r="D13" s="95">
        <v>0.1</v>
      </c>
      <c r="E13" s="55">
        <v>0.45</v>
      </c>
      <c r="F13" s="56">
        <v>0.45</v>
      </c>
      <c r="G13" s="112">
        <f t="shared" si="0"/>
        <v>1</v>
      </c>
      <c r="H13" s="108">
        <f>ROUND($D13*MCUA!$D$14+$E13*MCUA!$D$15+$F13*MCUA!$D$16,2)</f>
        <v>0.46</v>
      </c>
      <c r="I13" s="54">
        <f>ROUND(D13*MCUA!$E$14+E13*MCUA!$E$15+F13*MCUA!$E$16,2)</f>
        <v>0.48</v>
      </c>
      <c r="J13" s="120">
        <f>ROUND(D13*MCUA!$F$14+E13*MCUA!$F$15+F13*MCUA!$F$16,2)</f>
        <v>0.52</v>
      </c>
      <c r="K13" s="99">
        <f t="shared" si="2"/>
        <v>3</v>
      </c>
      <c r="L13" s="54">
        <f t="shared" si="3"/>
        <v>2</v>
      </c>
      <c r="M13" s="96">
        <f t="shared" si="4"/>
        <v>1</v>
      </c>
    </row>
    <row r="14" spans="2:13" ht="18" customHeight="1" x14ac:dyDescent="0.3">
      <c r="B14" s="124">
        <v>10</v>
      </c>
      <c r="C14" s="105" t="s">
        <v>76</v>
      </c>
      <c r="D14" s="95">
        <v>0.5</v>
      </c>
      <c r="E14" s="55">
        <v>0.25</v>
      </c>
      <c r="F14" s="56">
        <v>0.25</v>
      </c>
      <c r="G14" s="112">
        <f t="shared" si="0"/>
        <v>1</v>
      </c>
      <c r="H14" s="108">
        <f>ROUND($D14*MCUA!$D$14+$E14*MCUA!$D$15+$F14*MCUA!$D$16,2)</f>
        <v>0.31</v>
      </c>
      <c r="I14" s="54">
        <f>ROUND(D14*MCUA!$E$14+E14*MCUA!$E$15+F14*MCUA!$E$16,2)</f>
        <v>0.49</v>
      </c>
      <c r="J14" s="120">
        <f>ROUND(D14*MCUA!$F$14+E14*MCUA!$F$15+F14*MCUA!$F$16,2)</f>
        <v>0.68</v>
      </c>
      <c r="K14" s="99">
        <f t="shared" si="2"/>
        <v>3</v>
      </c>
      <c r="L14" s="54">
        <f t="shared" si="3"/>
        <v>2</v>
      </c>
      <c r="M14" s="96">
        <f t="shared" si="4"/>
        <v>1</v>
      </c>
    </row>
    <row r="15" spans="2:13" ht="18" customHeight="1" thickBot="1" x14ac:dyDescent="0.35">
      <c r="B15" s="125">
        <v>11</v>
      </c>
      <c r="C15" s="106" t="s">
        <v>77</v>
      </c>
      <c r="D15" s="97">
        <v>0.2</v>
      </c>
      <c r="E15" s="58">
        <v>0.5</v>
      </c>
      <c r="F15" s="59">
        <v>0.3</v>
      </c>
      <c r="G15" s="113">
        <f t="shared" si="0"/>
        <v>1</v>
      </c>
      <c r="H15" s="109">
        <f>ROUND($D15*MCUA!$D$14+$E15*MCUA!$D$15+$F15*MCUA!$D$16,2)</f>
        <v>0.53</v>
      </c>
      <c r="I15" s="57">
        <f>ROUND(D15*MCUA!$E$14+E15*MCUA!$E$15+F15*MCUA!$E$16,2)</f>
        <v>0.5</v>
      </c>
      <c r="J15" s="121">
        <f>ROUND(D15*MCUA!$F$14+E15*MCUA!$F$15+F15*MCUA!$F$16,2)</f>
        <v>0.49</v>
      </c>
      <c r="K15" s="100">
        <f t="shared" si="2"/>
        <v>1</v>
      </c>
      <c r="L15" s="57">
        <f t="shared" si="3"/>
        <v>2</v>
      </c>
      <c r="M15" s="98">
        <f t="shared" si="4"/>
        <v>3</v>
      </c>
    </row>
    <row r="16" spans="2:13" x14ac:dyDescent="0.3">
      <c r="K16" s="90"/>
      <c r="L16" s="90"/>
      <c r="M16" s="90"/>
    </row>
    <row r="17" spans="10:13" x14ac:dyDescent="0.3">
      <c r="J17" s="118" t="s">
        <v>96</v>
      </c>
      <c r="K17" s="91">
        <f>AVERAGE(K5:K15)</f>
        <v>2.3636363636363638</v>
      </c>
      <c r="L17" s="91">
        <f>AVERAGE(L5:L15)</f>
        <v>2</v>
      </c>
      <c r="M17" s="91">
        <f>AVERAGE(M5:M15)</f>
        <v>1.5454545454545454</v>
      </c>
    </row>
    <row r="18" spans="10:13" x14ac:dyDescent="0.3">
      <c r="J18" s="118" t="s">
        <v>97</v>
      </c>
      <c r="K18" s="54">
        <f>MEDIAN(K5:K15)</f>
        <v>3</v>
      </c>
      <c r="L18" s="54">
        <f>MEDIAN(L5:L15)</f>
        <v>2</v>
      </c>
      <c r="M18" s="54">
        <f>MEDIAN(M5:M15)</f>
        <v>1</v>
      </c>
    </row>
  </sheetData>
  <mergeCells count="2">
    <mergeCell ref="B4:C4"/>
    <mergeCell ref="B2:J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5</vt:i4>
      </vt:variant>
      <vt:variant>
        <vt:lpstr>Benannte Bereiche</vt:lpstr>
      </vt:variant>
      <vt:variant>
        <vt:i4>2</vt:i4>
      </vt:variant>
    </vt:vector>
  </HeadingPairs>
  <TitlesOfParts>
    <vt:vector size="7" baseType="lpstr">
      <vt:lpstr>Discrete Utility Functions</vt:lpstr>
      <vt:lpstr>Continuous Utility Functions</vt:lpstr>
      <vt:lpstr>MCUA</vt:lpstr>
      <vt:lpstr>Example Data Table</vt:lpstr>
      <vt:lpstr>MCUA Scenarios</vt:lpstr>
      <vt:lpstr>lut_disruption</vt:lpstr>
      <vt:lpstr>lut_energy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Karl Michael Höferl</cp:lastModifiedBy>
  <cp:revision>2</cp:revision>
  <dcterms:created xsi:type="dcterms:W3CDTF">2026-04-27T09:57:38Z</dcterms:created>
  <dcterms:modified xsi:type="dcterms:W3CDTF">2026-05-20T12:44:42Z</dcterms:modified>
  <dc:language>en-US</dc:language>
</cp:coreProperties>
</file>