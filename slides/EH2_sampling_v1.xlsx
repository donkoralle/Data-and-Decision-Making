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codeName="DieseArbeitsmappe" defaultThemeVersion="124226"/>
  <mc:AlternateContent xmlns:mc="http://schemas.openxmlformats.org/markup-compatibility/2006">
    <mc:Choice Requires="x15">
      <x15ac:absPath xmlns:x15ac="http://schemas.microsoft.com/office/spreadsheetml/2010/11/ac" url="https://imcfhkrems-my.sharepoint.com/personal/karl_hoeferl_fh-krems_ac_at/Documents/Dokumente/2___Lehre/SS 26/Data and Decision Making/"/>
    </mc:Choice>
  </mc:AlternateContent>
  <xr:revisionPtr revIDLastSave="211" documentId="13_ncr:1_{8002E5F3-93D2-45B6-98C5-9B6D11042FC7}" xr6:coauthVersionLast="47" xr6:coauthVersionMax="47" xr10:uidLastSave="{BBFC6F39-3EC0-43A9-A740-C9F00CDE2635}"/>
  <bookViews>
    <workbookView xWindow="-108" yWindow="-108" windowWidth="30936" windowHeight="17496" tabRatio="775" xr2:uid="{00000000-000D-0000-FFFF-FFFF00000000}"/>
  </bookViews>
  <sheets>
    <sheet name="simple random sample" sheetId="11" r:id="rId1"/>
    <sheet name="stratified sample 1d" sheetId="8" r:id="rId2"/>
    <sheet name="stratified sample 2d" sheetId="12" r:id="rId3"/>
    <sheet name="statcube data" sheetId="13" r:id="rId4"/>
  </sheets>
  <definedNames>
    <definedName name="_xlnm._FilterDatabase" localSheetId="0" hidden="1">'simple random sample'!$L$5:$O$9</definedName>
    <definedName name="lut">'simple random sample'!$L$6:$O$1005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 i="11" l="1"/>
  <c r="I6" i="11"/>
  <c r="I7" i="11"/>
  <c r="I8" i="11"/>
  <c r="I9" i="11"/>
  <c r="I10" i="11"/>
  <c r="I11" i="11"/>
  <c r="I12" i="11"/>
  <c r="I13" i="11"/>
  <c r="I14" i="11"/>
  <c r="I15" i="11"/>
  <c r="I16" i="11"/>
  <c r="I17" i="11"/>
  <c r="I18" i="11"/>
  <c r="I19" i="11"/>
  <c r="I20" i="11"/>
  <c r="I21" i="11"/>
  <c r="H5" i="11"/>
  <c r="H6" i="11"/>
  <c r="H7" i="11"/>
  <c r="H8" i="11"/>
  <c r="H9" i="11"/>
  <c r="H10" i="11"/>
  <c r="H11" i="11"/>
  <c r="H12" i="11"/>
  <c r="H13" i="11"/>
  <c r="H14" i="11"/>
  <c r="H15" i="11"/>
  <c r="H16" i="11"/>
  <c r="H17" i="11"/>
  <c r="H18" i="11"/>
  <c r="H19" i="11"/>
  <c r="H20" i="11"/>
  <c r="J5" i="11"/>
  <c r="J6" i="11"/>
  <c r="J7" i="11"/>
  <c r="J8" i="11"/>
  <c r="J9" i="11"/>
  <c r="J10" i="11"/>
  <c r="J11" i="11"/>
  <c r="J12" i="11"/>
  <c r="J13" i="11"/>
  <c r="J14" i="11"/>
  <c r="J15" i="11"/>
  <c r="J16" i="11"/>
  <c r="J17" i="11"/>
  <c r="J18" i="11"/>
  <c r="J19" i="11"/>
  <c r="J20" i="11"/>
  <c r="H21" i="11"/>
  <c r="J21" i="11"/>
  <c r="H22" i="11"/>
  <c r="I22" i="11"/>
  <c r="J22" i="11"/>
  <c r="H23" i="11"/>
  <c r="I23" i="11"/>
  <c r="J23" i="11"/>
  <c r="H24" i="11"/>
  <c r="I24" i="11"/>
  <c r="J24" i="11"/>
  <c r="H25" i="11"/>
  <c r="I25" i="11"/>
  <c r="J25" i="11"/>
  <c r="H26" i="11"/>
  <c r="I26" i="11"/>
  <c r="J26" i="11"/>
  <c r="H27" i="11"/>
  <c r="I27" i="11"/>
  <c r="J27" i="11"/>
  <c r="H28" i="11"/>
  <c r="I28" i="11"/>
  <c r="J28" i="11"/>
  <c r="H29" i="11"/>
  <c r="I29" i="11"/>
  <c r="J29" i="11"/>
  <c r="H30" i="11"/>
  <c r="I30" i="11"/>
  <c r="J30" i="11"/>
  <c r="H31" i="11"/>
  <c r="I31" i="11"/>
  <c r="J31" i="11"/>
  <c r="H32" i="11"/>
  <c r="I32" i="11"/>
  <c r="J32" i="11"/>
  <c r="H33" i="11"/>
  <c r="I33" i="11"/>
  <c r="J33" i="11"/>
  <c r="H34" i="11"/>
  <c r="I34" i="11"/>
  <c r="J34" i="11"/>
  <c r="H35" i="11"/>
  <c r="I35" i="11"/>
  <c r="J35" i="11"/>
  <c r="H36" i="11"/>
  <c r="I36" i="11"/>
  <c r="J36" i="11"/>
  <c r="H37" i="11"/>
  <c r="I37" i="11"/>
  <c r="J37" i="11"/>
  <c r="H38" i="11"/>
  <c r="I38" i="11"/>
  <c r="J38" i="11"/>
  <c r="H39" i="11"/>
  <c r="I39" i="11"/>
  <c r="J39" i="11"/>
  <c r="H40" i="11"/>
  <c r="I40" i="11"/>
  <c r="J40" i="11"/>
  <c r="H41" i="11"/>
  <c r="I41" i="11"/>
  <c r="J41" i="11"/>
  <c r="H42" i="11"/>
  <c r="I42" i="11"/>
  <c r="J42" i="11"/>
  <c r="H43" i="11"/>
  <c r="I43" i="11"/>
  <c r="J43" i="11"/>
  <c r="H44" i="11"/>
  <c r="I44" i="11"/>
  <c r="J44" i="11"/>
  <c r="H45" i="11"/>
  <c r="I45" i="11"/>
  <c r="J45" i="11"/>
  <c r="H46" i="11"/>
  <c r="I46" i="11"/>
  <c r="J46" i="11"/>
  <c r="H47" i="11"/>
  <c r="I47" i="11"/>
  <c r="J47" i="11"/>
  <c r="H48" i="11"/>
  <c r="I48" i="11"/>
  <c r="J48" i="11"/>
  <c r="H49" i="11"/>
  <c r="I49" i="11"/>
  <c r="J49" i="11"/>
  <c r="H50" i="11"/>
  <c r="I50" i="11"/>
  <c r="J50" i="11"/>
  <c r="H51" i="11"/>
  <c r="I51" i="11"/>
  <c r="J51" i="11"/>
  <c r="H52" i="11"/>
  <c r="I52" i="11"/>
  <c r="J52" i="11"/>
  <c r="H53" i="11"/>
  <c r="I53" i="11"/>
  <c r="J53" i="11"/>
  <c r="H54" i="11"/>
  <c r="I54" i="11"/>
  <c r="J54" i="11"/>
  <c r="H55" i="11"/>
  <c r="I55" i="11"/>
  <c r="J55" i="11"/>
  <c r="H56" i="11"/>
  <c r="I56" i="11"/>
  <c r="J56" i="11"/>
  <c r="H57" i="11"/>
  <c r="I57" i="11"/>
  <c r="J57" i="11"/>
  <c r="H58" i="11"/>
  <c r="I58" i="11"/>
  <c r="J58" i="11"/>
  <c r="H59" i="11"/>
  <c r="I59" i="11"/>
  <c r="J59" i="11"/>
  <c r="H60" i="11"/>
  <c r="I60" i="11"/>
  <c r="J60" i="11"/>
  <c r="H61" i="11"/>
  <c r="I61" i="11"/>
  <c r="J61" i="11"/>
  <c r="H62" i="11"/>
  <c r="I62" i="11"/>
  <c r="J62" i="11"/>
  <c r="H63" i="11"/>
  <c r="I63" i="11"/>
  <c r="J63" i="11"/>
  <c r="H64" i="11"/>
  <c r="I64" i="11"/>
  <c r="J64" i="11"/>
  <c r="H65" i="11"/>
  <c r="I65" i="11"/>
  <c r="J65" i="11"/>
  <c r="H66" i="11"/>
  <c r="I66" i="11"/>
  <c r="J66" i="11"/>
  <c r="H67" i="11"/>
  <c r="I67" i="11"/>
  <c r="J67" i="11"/>
  <c r="H68" i="11"/>
  <c r="I68" i="11"/>
  <c r="J68" i="11"/>
  <c r="H69" i="11"/>
  <c r="I69" i="11"/>
  <c r="J69" i="11"/>
  <c r="H70" i="11"/>
  <c r="I70" i="11"/>
  <c r="J70" i="11"/>
  <c r="H71" i="11"/>
  <c r="I71" i="11"/>
  <c r="J71" i="11"/>
  <c r="H72" i="11"/>
  <c r="I72" i="11"/>
  <c r="J72" i="11"/>
  <c r="H73" i="11"/>
  <c r="I73" i="11"/>
  <c r="J73" i="11"/>
  <c r="H74" i="11"/>
  <c r="I74" i="11"/>
  <c r="J74" i="11"/>
  <c r="H75" i="11"/>
  <c r="I75" i="11"/>
  <c r="J75" i="11"/>
  <c r="H76" i="11"/>
  <c r="I76" i="11"/>
  <c r="J76" i="11"/>
  <c r="H77" i="11"/>
  <c r="I77" i="11"/>
  <c r="J77" i="11"/>
  <c r="H78" i="11"/>
  <c r="I78" i="11"/>
  <c r="J78" i="11"/>
  <c r="H79" i="11"/>
  <c r="I79" i="11"/>
  <c r="J79" i="11"/>
  <c r="H80" i="11"/>
  <c r="I80" i="11"/>
  <c r="J80" i="11"/>
  <c r="H81" i="11"/>
  <c r="I81" i="11"/>
  <c r="J81" i="11"/>
  <c r="H82" i="11"/>
  <c r="I82" i="11"/>
  <c r="J82" i="11"/>
  <c r="H83" i="11"/>
  <c r="I83" i="11"/>
  <c r="J83" i="11"/>
  <c r="H84" i="11"/>
  <c r="I84" i="11"/>
  <c r="J84" i="11"/>
  <c r="H85" i="11"/>
  <c r="I85" i="11"/>
  <c r="J85" i="11"/>
  <c r="H86" i="11"/>
  <c r="I86" i="11"/>
  <c r="J86" i="11"/>
  <c r="H87" i="11"/>
  <c r="I87" i="11"/>
  <c r="J87" i="11"/>
  <c r="H88" i="11"/>
  <c r="I88" i="11"/>
  <c r="J88" i="11"/>
  <c r="H89" i="11"/>
  <c r="I89" i="11"/>
  <c r="J89" i="11"/>
  <c r="H90" i="11"/>
  <c r="I90" i="11"/>
  <c r="J90" i="11"/>
  <c r="H91" i="11"/>
  <c r="I91" i="11"/>
  <c r="J91" i="11"/>
  <c r="H92" i="11"/>
  <c r="I92" i="11"/>
  <c r="J92" i="11"/>
  <c r="H93" i="11"/>
  <c r="I93" i="11"/>
  <c r="J93" i="11"/>
  <c r="H94" i="11"/>
  <c r="I94" i="11"/>
  <c r="J94" i="11"/>
  <c r="H95" i="11"/>
  <c r="I95" i="11"/>
  <c r="J95" i="11"/>
  <c r="H96" i="11"/>
  <c r="I96" i="11"/>
  <c r="J96" i="11"/>
  <c r="H97" i="11"/>
  <c r="I97" i="11"/>
  <c r="J97" i="11"/>
  <c r="H98" i="11"/>
  <c r="I98" i="11"/>
  <c r="J98" i="11"/>
  <c r="H99" i="11"/>
  <c r="I99" i="11"/>
  <c r="J99" i="11"/>
  <c r="H100" i="11"/>
  <c r="I100" i="11"/>
  <c r="J100" i="11"/>
  <c r="H101" i="11"/>
  <c r="I101" i="11"/>
  <c r="J101" i="11"/>
  <c r="H102" i="11"/>
  <c r="I102" i="11"/>
  <c r="J102" i="11"/>
  <c r="H103" i="11"/>
  <c r="I103" i="11"/>
  <c r="J103" i="11"/>
  <c r="H104" i="11"/>
  <c r="I104" i="11"/>
  <c r="J104" i="11"/>
  <c r="H105" i="11"/>
  <c r="I105" i="11"/>
  <c r="J105" i="11"/>
  <c r="H106" i="11"/>
  <c r="I106" i="11"/>
  <c r="J106" i="11"/>
  <c r="H107" i="11"/>
  <c r="I107" i="11"/>
  <c r="J107" i="11"/>
  <c r="H108" i="11"/>
  <c r="I108" i="11"/>
  <c r="J108" i="11"/>
  <c r="H109" i="11"/>
  <c r="I109" i="11"/>
  <c r="J109" i="11"/>
  <c r="H110" i="11"/>
  <c r="I110" i="11"/>
  <c r="J110" i="11"/>
  <c r="H111" i="11"/>
  <c r="I111" i="11"/>
  <c r="J111" i="11"/>
  <c r="H112" i="11"/>
  <c r="I112" i="11"/>
  <c r="J112" i="11"/>
  <c r="H113" i="11"/>
  <c r="I113" i="11"/>
  <c r="J113" i="11"/>
  <c r="H114" i="11"/>
  <c r="I114" i="11"/>
  <c r="J114" i="11"/>
  <c r="H115" i="11"/>
  <c r="I115" i="11"/>
  <c r="J115" i="11"/>
  <c r="H116" i="11"/>
  <c r="I116" i="11"/>
  <c r="J116" i="11"/>
  <c r="H117" i="11"/>
  <c r="I117" i="11"/>
  <c r="J117" i="11"/>
  <c r="H118" i="11"/>
  <c r="I118" i="11"/>
  <c r="J118" i="11"/>
  <c r="H119" i="11"/>
  <c r="I119" i="11"/>
  <c r="J119" i="11"/>
  <c r="H120" i="11"/>
  <c r="I120" i="11"/>
  <c r="J120" i="11"/>
  <c r="H121" i="11"/>
  <c r="I121" i="11"/>
  <c r="J121" i="11"/>
  <c r="H122" i="11"/>
  <c r="I122" i="11"/>
  <c r="J122" i="11"/>
  <c r="H123" i="11"/>
  <c r="I123" i="11"/>
  <c r="J123" i="11"/>
  <c r="H124" i="11"/>
  <c r="I124" i="11"/>
  <c r="J124" i="11"/>
  <c r="H125" i="11"/>
  <c r="I125" i="11"/>
  <c r="J125" i="11"/>
  <c r="H126" i="11"/>
  <c r="I126" i="11"/>
  <c r="J126" i="11"/>
  <c r="H127" i="11"/>
  <c r="I127" i="11"/>
  <c r="J127" i="11"/>
  <c r="H128" i="11"/>
  <c r="I128" i="11"/>
  <c r="J128" i="11"/>
  <c r="H129" i="11"/>
  <c r="I129" i="11"/>
  <c r="J129" i="11"/>
  <c r="H130" i="11"/>
  <c r="I130" i="11"/>
  <c r="J130" i="11"/>
  <c r="H131" i="11"/>
  <c r="I131" i="11"/>
  <c r="J131" i="11"/>
  <c r="H132" i="11"/>
  <c r="I132" i="11"/>
  <c r="J132" i="11"/>
  <c r="H133" i="11"/>
  <c r="I133" i="11"/>
  <c r="J133" i="11"/>
  <c r="H134" i="11"/>
  <c r="I134" i="11"/>
  <c r="J134" i="11"/>
  <c r="H135" i="11"/>
  <c r="I135" i="11"/>
  <c r="J135" i="11"/>
  <c r="H136" i="11"/>
  <c r="I136" i="11"/>
  <c r="J136" i="11"/>
  <c r="H137" i="11"/>
  <c r="I137" i="11"/>
  <c r="J137" i="11"/>
  <c r="H138" i="11"/>
  <c r="I138" i="11"/>
  <c r="J138" i="11"/>
  <c r="H139" i="11"/>
  <c r="I139" i="11"/>
  <c r="J139" i="11"/>
  <c r="H140" i="11"/>
  <c r="I140" i="11"/>
  <c r="J140" i="11"/>
  <c r="H141" i="11"/>
  <c r="I141" i="11"/>
  <c r="J141" i="11"/>
  <c r="H142" i="11"/>
  <c r="I142" i="11"/>
  <c r="J142" i="11"/>
  <c r="H143" i="11"/>
  <c r="I143" i="11"/>
  <c r="J143" i="11"/>
  <c r="H144" i="11"/>
  <c r="I144" i="11"/>
  <c r="J144" i="11"/>
  <c r="H145" i="11"/>
  <c r="I145" i="11"/>
  <c r="J145" i="11"/>
  <c r="H146" i="11"/>
  <c r="I146" i="11"/>
  <c r="J146" i="11"/>
  <c r="H147" i="11"/>
  <c r="I147" i="11"/>
  <c r="J147" i="11"/>
  <c r="H148" i="11"/>
  <c r="I148" i="11"/>
  <c r="J148" i="11"/>
  <c r="H149" i="11"/>
  <c r="I149" i="11"/>
  <c r="J149" i="11"/>
  <c r="H150" i="11"/>
  <c r="I150" i="11"/>
  <c r="J150" i="11"/>
  <c r="H151" i="11"/>
  <c r="I151" i="11"/>
  <c r="J151" i="11"/>
  <c r="H152" i="11"/>
  <c r="I152" i="11"/>
  <c r="J152" i="11"/>
  <c r="H153" i="11"/>
  <c r="I153" i="11"/>
  <c r="J153" i="11"/>
  <c r="J4" i="11"/>
  <c r="I4" i="11"/>
  <c r="H4" i="11"/>
  <c r="F5" i="11"/>
  <c r="F6" i="11"/>
  <c r="F7" i="11"/>
  <c r="F8" i="11"/>
  <c r="F9" i="11"/>
  <c r="F10" i="11"/>
  <c r="F11" i="11"/>
  <c r="F12" i="11"/>
  <c r="F13" i="11"/>
  <c r="F14" i="11"/>
  <c r="F15" i="11"/>
  <c r="F16" i="11"/>
  <c r="F17" i="11"/>
  <c r="F18" i="11"/>
  <c r="F19" i="11"/>
  <c r="F20" i="11"/>
  <c r="F21" i="11"/>
  <c r="F22" i="11"/>
  <c r="F23" i="11"/>
  <c r="F24" i="11"/>
  <c r="F25" i="11"/>
  <c r="F26" i="11"/>
  <c r="F27" i="11"/>
  <c r="F28" i="11"/>
  <c r="F29" i="11"/>
  <c r="F30" i="11"/>
  <c r="F31" i="11"/>
  <c r="F32" i="11"/>
  <c r="F33" i="11"/>
  <c r="F34" i="11"/>
  <c r="F35" i="11"/>
  <c r="F36" i="11"/>
  <c r="F37" i="11"/>
  <c r="F38" i="11"/>
  <c r="F39" i="11"/>
  <c r="F40" i="11"/>
  <c r="F41" i="11"/>
  <c r="F42" i="11"/>
  <c r="F43" i="11"/>
  <c r="F44" i="11"/>
  <c r="F45" i="11"/>
  <c r="F46" i="11"/>
  <c r="F47" i="11"/>
  <c r="F48" i="11"/>
  <c r="F49" i="11"/>
  <c r="F50" i="11"/>
  <c r="F51" i="11"/>
  <c r="F52" i="11"/>
  <c r="F53" i="11"/>
  <c r="F54" i="11"/>
  <c r="F55" i="11"/>
  <c r="F56" i="11"/>
  <c r="F57" i="11"/>
  <c r="F58" i="11"/>
  <c r="F59" i="11"/>
  <c r="F60" i="11"/>
  <c r="F61" i="11"/>
  <c r="F62" i="11"/>
  <c r="F63" i="11"/>
  <c r="F64" i="11"/>
  <c r="F65" i="11"/>
  <c r="F66" i="11"/>
  <c r="F67" i="11"/>
  <c r="F68" i="11"/>
  <c r="F69" i="11"/>
  <c r="F70" i="11"/>
  <c r="F71" i="11"/>
  <c r="F72" i="11"/>
  <c r="F73" i="11"/>
  <c r="F74" i="11"/>
  <c r="F75" i="11"/>
  <c r="F76" i="11"/>
  <c r="F77" i="11"/>
  <c r="F78" i="11"/>
  <c r="F79" i="11"/>
  <c r="F80" i="11"/>
  <c r="F81" i="11"/>
  <c r="F82" i="11"/>
  <c r="F83" i="11"/>
  <c r="F84" i="11"/>
  <c r="F85" i="11"/>
  <c r="F86" i="11"/>
  <c r="F87" i="11"/>
  <c r="F88" i="11"/>
  <c r="F89" i="11"/>
  <c r="F90" i="11"/>
  <c r="F91" i="11"/>
  <c r="F92" i="11"/>
  <c r="F93" i="11"/>
  <c r="F94" i="11"/>
  <c r="F95" i="11"/>
  <c r="F96" i="11"/>
  <c r="F97" i="11"/>
  <c r="F98" i="11"/>
  <c r="F99" i="11"/>
  <c r="F100" i="11"/>
  <c r="F101" i="11"/>
  <c r="F102" i="11"/>
  <c r="F103" i="11"/>
  <c r="F104" i="11"/>
  <c r="F105" i="11"/>
  <c r="F106" i="11"/>
  <c r="F107" i="11"/>
  <c r="F108" i="11"/>
  <c r="F109" i="11"/>
  <c r="F110" i="11"/>
  <c r="F111" i="11"/>
  <c r="F112" i="11"/>
  <c r="F113" i="11"/>
  <c r="F114" i="11"/>
  <c r="F115" i="11"/>
  <c r="F116" i="11"/>
  <c r="F117" i="11"/>
  <c r="F118" i="11"/>
  <c r="F119" i="11"/>
  <c r="F120" i="11"/>
  <c r="F121" i="11"/>
  <c r="F122" i="11"/>
  <c r="F123" i="11"/>
  <c r="F124" i="11"/>
  <c r="F125" i="11"/>
  <c r="F126" i="11"/>
  <c r="F127" i="11"/>
  <c r="F128" i="11"/>
  <c r="F129" i="11"/>
  <c r="F130" i="11"/>
  <c r="F131" i="11"/>
  <c r="F132" i="11"/>
  <c r="F133" i="11"/>
  <c r="F134" i="11"/>
  <c r="F135" i="11"/>
  <c r="F136" i="11"/>
  <c r="F137" i="11"/>
  <c r="F138" i="11"/>
  <c r="F139" i="11"/>
  <c r="F140" i="11"/>
  <c r="F141" i="11"/>
  <c r="F142" i="11"/>
  <c r="F143" i="11"/>
  <c r="F144" i="11"/>
  <c r="F145" i="11"/>
  <c r="F146" i="11"/>
  <c r="F147" i="11"/>
  <c r="F148" i="11"/>
  <c r="F149" i="11"/>
  <c r="F150" i="11"/>
  <c r="F151" i="11"/>
  <c r="F152" i="11"/>
  <c r="F153" i="11"/>
  <c r="F4" i="11"/>
  <c r="E16" i="12"/>
  <c r="F16" i="12"/>
  <c r="G16" i="12"/>
  <c r="F15" i="12"/>
  <c r="G15" i="12"/>
  <c r="E15" i="12"/>
  <c r="E6" i="12"/>
  <c r="F6" i="12"/>
  <c r="G6" i="12"/>
  <c r="F5" i="12"/>
  <c r="G5" i="12"/>
  <c r="E5" i="12"/>
  <c r="F15" i="8"/>
  <c r="G15" i="8"/>
  <c r="H15" i="8"/>
  <c r="I15" i="8"/>
  <c r="J15" i="8"/>
  <c r="E5" i="8"/>
  <c r="E15" i="8" l="1"/>
</calcChain>
</file>

<file path=xl/sharedStrings.xml><?xml version="1.0" encoding="utf-8"?>
<sst xmlns="http://schemas.openxmlformats.org/spreadsheetml/2006/main" count="3089" uniqueCount="1167">
  <si>
    <t>Frage</t>
  </si>
  <si>
    <t>Tirol 2001</t>
  </si>
  <si>
    <t>&lt; 15 J.</t>
  </si>
  <si>
    <t>15 - 40 J.</t>
  </si>
  <si>
    <t>40 - 60 J.</t>
  </si>
  <si>
    <t>60 - 75 J.</t>
  </si>
  <si>
    <t>&gt; 75 J.</t>
  </si>
  <si>
    <t>BLD</t>
  </si>
  <si>
    <t>EW_gesamt</t>
  </si>
  <si>
    <t>n</t>
  </si>
  <si>
    <t>http://www.random.org</t>
  </si>
  <si>
    <t>Nr.</t>
  </si>
  <si>
    <t>List of the population</t>
  </si>
  <si>
    <t>Verena</t>
  </si>
  <si>
    <t>Hofer</t>
  </si>
  <si>
    <t>Waldring 58A, 5020 Salzburg, Österreich</t>
  </si>
  <si>
    <t>Eva</t>
  </si>
  <si>
    <t>Steiner</t>
  </si>
  <si>
    <t>OpernKirchenplatz 56, Stg. 2, Tür 35, 4020 Linz, Österreich</t>
  </si>
  <si>
    <t>Theresa</t>
  </si>
  <si>
    <t>Maier</t>
  </si>
  <si>
    <t>Mariahilferallee 2, 1060 Wien, Österreich</t>
  </si>
  <si>
    <t>Maximilian</t>
  </si>
  <si>
    <t>Berger</t>
  </si>
  <si>
    <t>Feldgasse 87D, 1040 Wien, Österreich</t>
  </si>
  <si>
    <t>Lea</t>
  </si>
  <si>
    <t>Koch</t>
  </si>
  <si>
    <t>SeeDonaukai 138D, 1030 Wien, Österreich</t>
  </si>
  <si>
    <t>Lindner</t>
  </si>
  <si>
    <t>IndustrieBahnhofallee 12, 8010 Graz, Österreich</t>
  </si>
  <si>
    <t>Paul</t>
  </si>
  <si>
    <t>Schlossplatz 163, 1060 Wien, Österreich</t>
  </si>
  <si>
    <t>Elias</t>
  </si>
  <si>
    <t>Stark</t>
  </si>
  <si>
    <t>Ringring 166F, 1060 Wien, Österreich</t>
  </si>
  <si>
    <t>Jonas</t>
  </si>
  <si>
    <t>Weber</t>
  </si>
  <si>
    <t>Donauplatz 164, 1080 Wien, Österreich</t>
  </si>
  <si>
    <t>Franz</t>
  </si>
  <si>
    <t>Jäger</t>
  </si>
  <si>
    <t>Gartengasse 81, 1030 Wien, Österreich</t>
  </si>
  <si>
    <t>Lisa</t>
  </si>
  <si>
    <t>König</t>
  </si>
  <si>
    <t>Parkgasse 102, 4600 Wels, Österreich</t>
  </si>
  <si>
    <t>Julia</t>
  </si>
  <si>
    <t>Bauer</t>
  </si>
  <si>
    <t>Mühlring 68, 2500 Baden, Österreich</t>
  </si>
  <si>
    <t>Philipp</t>
  </si>
  <si>
    <t>Reiter</t>
  </si>
  <si>
    <t>Eichengasse 24, Stg. 2, Tür 28, 1040 Wien, Österreich</t>
  </si>
  <si>
    <t>Melanie</t>
  </si>
  <si>
    <t>Pichler</t>
  </si>
  <si>
    <t>Mozartplatz 120, 3430 Tulln, Österreich</t>
  </si>
  <si>
    <t>Anna</t>
  </si>
  <si>
    <t>Langer</t>
  </si>
  <si>
    <t>Wiesenring 69, Stg. 4, Tür 11, 2000 Stockerau, Österreich</t>
  </si>
  <si>
    <t>Florian</t>
  </si>
  <si>
    <t>Huber</t>
  </si>
  <si>
    <t>Seeallee 130, 4600 Wels, Österreich</t>
  </si>
  <si>
    <t>Zimmermann</t>
  </si>
  <si>
    <t>UniversitätsRosengasse 139, 3300 Amstetten, Österreich</t>
  </si>
  <si>
    <t>Schneider</t>
  </si>
  <si>
    <t>AugartenIndustriestraße 79, 1080 Wien, Österreich</t>
  </si>
  <si>
    <t>AugartenDöblingerkai 33D, Stg. 5, Tür 39, 3430 Tulln, Österreich</t>
  </si>
  <si>
    <t>Daniel</t>
  </si>
  <si>
    <t>Schwarz</t>
  </si>
  <si>
    <t>Döblingerkai 52, 2380 Perchtoldsdorf, Österreich</t>
  </si>
  <si>
    <t>Michael</t>
  </si>
  <si>
    <t>Mariahilferallee 64, Stg. 5, Tür 15, 2000 Stockerau, Österreich</t>
  </si>
  <si>
    <t>Benjamin</t>
  </si>
  <si>
    <t>Bergstraße 16, 1020 Wien, Österreich</t>
  </si>
  <si>
    <t>Laura</t>
  </si>
  <si>
    <t>Mühlweg 55, 6900 Bregenz, Österreich</t>
  </si>
  <si>
    <t>Maierhofer</t>
  </si>
  <si>
    <t>Pratergasse 105, 1040 Wien, Österreich</t>
  </si>
  <si>
    <t>Kraus</t>
  </si>
  <si>
    <t>Haydnplatz 14, Stg. 4, Tür 22, 4600 Wels, Österreich</t>
  </si>
  <si>
    <t>Sophie</t>
  </si>
  <si>
    <t>Leitner</t>
  </si>
  <si>
    <t>Lindengasse 36, 1090 Wien, Österreich</t>
  </si>
  <si>
    <t>Hofmann</t>
  </si>
  <si>
    <t>SeestadtDöblingerstraße 4, 8010 Graz, Österreich</t>
  </si>
  <si>
    <t>Mia</t>
  </si>
  <si>
    <t>Brunner</t>
  </si>
  <si>
    <t>AugartenSchubertplatz 16A, 2380 Perchtoldsdorf, Österreich</t>
  </si>
  <si>
    <t>Fischer</t>
  </si>
  <si>
    <t>Brucknerring 143, Stg. 3, Tür 14, 3100 St. Pölten, Österreich</t>
  </si>
  <si>
    <t>Leon</t>
  </si>
  <si>
    <t>Schreiner</t>
  </si>
  <si>
    <t>Döblingerstraße 15D, 3300 Amstetten, Österreich</t>
  </si>
  <si>
    <t>Tobias</t>
  </si>
  <si>
    <t>GartenAhornallee 18, 5020 Salzburg, Österreich</t>
  </si>
  <si>
    <t>Rathausgasse 11, 2500 Baden, Österreich</t>
  </si>
  <si>
    <t>Winter</t>
  </si>
  <si>
    <t>Parkweg 62, 1050 Wien, Österreich</t>
  </si>
  <si>
    <t>Moritz</t>
  </si>
  <si>
    <t>Seidl</t>
  </si>
  <si>
    <t>Parkkai 3, 3500 Krems an der Donau, Österreich</t>
  </si>
  <si>
    <t>Schuster</t>
  </si>
  <si>
    <t>Birkenallee 90, 1080 Wien, Österreich</t>
  </si>
  <si>
    <t>Döblingerring 168, 5020 Salzburg, Österreich</t>
  </si>
  <si>
    <t>Schlossgasse 28, 1050 Wien, Österreich</t>
  </si>
  <si>
    <t>Alleegasse 68, 1090 Wien, Österreich</t>
  </si>
  <si>
    <t>Brucknerkai 1, 1050 Wien, Österreich</t>
  </si>
  <si>
    <t>Mariahilferallee 144A, 6020 Innsbruck, Österreich</t>
  </si>
  <si>
    <t>Gruber</t>
  </si>
  <si>
    <t>Industrieallee 111C, 2100 Korneuburg, Österreich</t>
  </si>
  <si>
    <t>Marie</t>
  </si>
  <si>
    <t>Scherer</t>
  </si>
  <si>
    <t>BirkenSchlossring 91, 2500 Baden, Österreich</t>
  </si>
  <si>
    <t>Nora</t>
  </si>
  <si>
    <t>Fuchs</t>
  </si>
  <si>
    <t>MühlAhornkai 106F, 2000 Stockerau, Österreich</t>
  </si>
  <si>
    <t>MühlSchlossweg 98, 3100 St. Pölten, Österreich</t>
  </si>
  <si>
    <t>Marktkai 59, Stg. 3, Tür 18, 5020 Salzburg, Österreich</t>
  </si>
  <si>
    <t>Ringweg 103, 3430 Tulln, Österreich</t>
  </si>
  <si>
    <t>Lukas</t>
  </si>
  <si>
    <t>Seegasse 68E, 2500 Baden, Österreich</t>
  </si>
  <si>
    <t>Katharina</t>
  </si>
  <si>
    <t>UniversitätsRathausallee 49, 6020 Innsbruck, Österreich</t>
  </si>
  <si>
    <t>Lindenweg 171, 4020 Linz, Österreich</t>
  </si>
  <si>
    <t>Jakob</t>
  </si>
  <si>
    <t>Richter</t>
  </si>
  <si>
    <t>Marktallee 105, 6020 Innsbruck, Österreich</t>
  </si>
  <si>
    <t>Lena</t>
  </si>
  <si>
    <t>Lang</t>
  </si>
  <si>
    <t>Haydnring 174, 1060 Wien, Österreich</t>
  </si>
  <si>
    <t>Haas</t>
  </si>
  <si>
    <t>SeestadtHauptkai 54, 3500 Krems an der Donau, Österreich</t>
  </si>
  <si>
    <t>Mariahilferplatz 131, 9020 Klagenfurt am Wörthersee, Österreich</t>
  </si>
  <si>
    <t>Helena</t>
  </si>
  <si>
    <t>Hauptallee 159, 8010 Graz, Österreich</t>
  </si>
  <si>
    <t>LindenMühlgasse 122, Stg. 4, Tür 37, 8010 Graz, Österreich</t>
  </si>
  <si>
    <t>Hannah</t>
  </si>
  <si>
    <t>Mozartplatz 38, 1010 Wien, Österreich</t>
  </si>
  <si>
    <t>Moser</t>
  </si>
  <si>
    <t>BrucknerFavoritengasse 119B, 1040 Wien, Österreich</t>
  </si>
  <si>
    <t>Favoritenallee 114, 6900 Bregenz, Österreich</t>
  </si>
  <si>
    <t>Feldbauer</t>
  </si>
  <si>
    <t>Mariahilfergasse 122, 8010 Graz, Österreich</t>
  </si>
  <si>
    <t>Favoritenplatz 71, 6020 Innsbruck, Österreich</t>
  </si>
  <si>
    <t>David</t>
  </si>
  <si>
    <t>Winkler</t>
  </si>
  <si>
    <t>ParkFeldallee 60, 1050 Wien, Österreich</t>
  </si>
  <si>
    <t>Haydnweg 107D, 2380 Perchtoldsdorf, Österreich</t>
  </si>
  <si>
    <t>Nowak</t>
  </si>
  <si>
    <t>Waldkai 148, 1010 Wien, Österreich</t>
  </si>
  <si>
    <t>Klein</t>
  </si>
  <si>
    <t>Mozartkai 108, 6900 Bregenz, Österreich</t>
  </si>
  <si>
    <t>Augartengasse 125C, 5020 Salzburg, Österreich</t>
  </si>
  <si>
    <t>Rosenkai 33, Stg. 4, Tür 38, 3430 Tulln, Österreich</t>
  </si>
  <si>
    <t>Waldstraße 35, Stg. 4, Tür 21, 1060 Wien, Österreich</t>
  </si>
  <si>
    <t>Parkweg 98, 2500 Baden, Österreich</t>
  </si>
  <si>
    <t>Dietrich</t>
  </si>
  <si>
    <t>Waldring 90, 1030 Wien, Österreich</t>
  </si>
  <si>
    <t>Waldgasse 160B, 3100 St. Pölten, Österreich</t>
  </si>
  <si>
    <t>Donauring 95E, 6900 Bregenz, Österreich</t>
  </si>
  <si>
    <t>Marktstraße 80, 2380 Perchtoldsdorf, Österreich</t>
  </si>
  <si>
    <t>Carina</t>
  </si>
  <si>
    <t>Bahnhofallee 161, 6020 Innsbruck, Österreich</t>
  </si>
  <si>
    <t>Alexander</t>
  </si>
  <si>
    <t>Wiesenkai 11, 2500 Baden, Österreich</t>
  </si>
  <si>
    <t>Alleestraße 126C, 4600 Wels, Österreich</t>
  </si>
  <si>
    <t>FeldFavoritenplatz 167, 9020 Klagenfurt am Wörthersee, Österreich</t>
  </si>
  <si>
    <t>Donauplatz 152, 1080 Wien, Österreich</t>
  </si>
  <si>
    <t>Mariahilfergasse 146, 2380 Perchtoldsdorf, Österreich</t>
  </si>
  <si>
    <t>Raphael</t>
  </si>
  <si>
    <t>AhornSeeplatz 88, 4020 Linz, Österreich</t>
  </si>
  <si>
    <t>Bergallee 22, 2500 Baden, Österreich</t>
  </si>
  <si>
    <t>Georg</t>
  </si>
  <si>
    <t>Praterring 115, 1030 Wien, Österreich</t>
  </si>
  <si>
    <t>Mühlweg 95, 3300 Amstetten, Österreich</t>
  </si>
  <si>
    <t>Alleeweg 70, Stg. 2, Tür 21, 1080 Wien, Österreich</t>
  </si>
  <si>
    <t>Vogt</t>
  </si>
  <si>
    <t>Döblingerkai 50, 3100 St. Pölten, Österreich</t>
  </si>
  <si>
    <t>Favoritenallee 26, 1100 Wien, Österreich</t>
  </si>
  <si>
    <t>Noah</t>
  </si>
  <si>
    <t>Eder</t>
  </si>
  <si>
    <t>Bergring 71A, 3430 Tulln, Österreich</t>
  </si>
  <si>
    <t>Auer</t>
  </si>
  <si>
    <t>Augartenstraße 147, 3100 St. Pölten, Österreich</t>
  </si>
  <si>
    <t>Mayer</t>
  </si>
  <si>
    <t>Seekai 17, 1030 Wien, Österreich</t>
  </si>
  <si>
    <t>Feldgasse 78B, 1040 Wien, Österreich</t>
  </si>
  <si>
    <t>Universitätskai 134, 2700 Wiener Neustadt, Österreich</t>
  </si>
  <si>
    <t>Marktallee 157, 1040 Wien, Österreich</t>
  </si>
  <si>
    <t>Birkenweg 41, Stg. 1, Tür 27, 3430 Tulln, Österreich</t>
  </si>
  <si>
    <t>Johanna</t>
  </si>
  <si>
    <t>Universitätsplatz 60, 1100 Wien, Österreich</t>
  </si>
  <si>
    <t>Eichenweg 161, 9020 Klagenfurt am Wörthersee, Österreich</t>
  </si>
  <si>
    <t>Döblingergasse 69, Stg. 3, Tür 39, 1030 Wien, Österreich</t>
  </si>
  <si>
    <t>HauptMarktplatz 180, 1090 Wien, Österreich</t>
  </si>
  <si>
    <t>KirchenBrucknerallee 189, Stg. 2, Tür 37, 1090 Wien, Österreich</t>
  </si>
  <si>
    <t>Wagner</t>
  </si>
  <si>
    <t>RingAhornallee 121, 2700 Wiener Neustadt, Österreich</t>
  </si>
  <si>
    <t>Brucknerring 24, 2500 Baden, Österreich</t>
  </si>
  <si>
    <t>Rosenweg 127, 2380 Perchtoldsdorf, Österreich</t>
  </si>
  <si>
    <t>Matthias</t>
  </si>
  <si>
    <t>Donaustraße 83D, 3300 Amstetten, Österreich</t>
  </si>
  <si>
    <t>Döblingerplatz 49, 4020 Linz, Österreich</t>
  </si>
  <si>
    <t>Gartengasse 34, 2700 Wiener Neustadt, Österreich</t>
  </si>
  <si>
    <t>Waldring 62, 1100 Wien, Österreich</t>
  </si>
  <si>
    <t>Kirchengasse 30, 1040 Wien, Österreich</t>
  </si>
  <si>
    <t>Felix</t>
  </si>
  <si>
    <t>Kaiser</t>
  </si>
  <si>
    <t>Hauptallee 107, 3100 St. Pölten, Österreich</t>
  </si>
  <si>
    <t>Mozartgasse 131, 1050 Wien, Österreich</t>
  </si>
  <si>
    <t>Haydnweg 130, 1010 Wien, Österreich</t>
  </si>
  <si>
    <t>Opernring 39, 3100 St. Pölten, Österreich</t>
  </si>
  <si>
    <t>Döblingerplatz 83, 6020 Innsbruck, Österreich</t>
  </si>
  <si>
    <t>Nina</t>
  </si>
  <si>
    <t>Haydnstraße 122, 9020 Klagenfurt am Wörthersee, Österreich</t>
  </si>
  <si>
    <t>Mayr</t>
  </si>
  <si>
    <t>Feldplatz 33, 3500 Krems an der Donau, Österreich</t>
  </si>
  <si>
    <t>Schlossallee 4, 2500 Baden, Österreich</t>
  </si>
  <si>
    <t>Praterkai 87, 2380 Perchtoldsdorf, Österreich</t>
  </si>
  <si>
    <t>Döblingerplatz 161, 8010 Graz, Österreich</t>
  </si>
  <si>
    <t>KreuzHauptstraße 59, 2500 Baden, Österreich</t>
  </si>
  <si>
    <t>SchlossMarktplatz 8A, 1100 Wien, Österreich</t>
  </si>
  <si>
    <t>Mühlallee 175, Stg. 5, Tür 25, 1060 Wien, Österreich</t>
  </si>
  <si>
    <t>Sebastian</t>
  </si>
  <si>
    <t>Mühlplatz 37, 4600 Wels, Österreich</t>
  </si>
  <si>
    <t>Bergkai 74, Stg. 3, Tür 38, 1060 Wien, Österreich</t>
  </si>
  <si>
    <t>Brucknerring 78, 2380 Perchtoldsdorf, Österreich</t>
  </si>
  <si>
    <t>Mozartallee 76, Stg. 6, Tür 26, 1100 Wien, Österreich</t>
  </si>
  <si>
    <t>Rathauskai 13, 6900 Bregenz, Österreich</t>
  </si>
  <si>
    <t>Sarah</t>
  </si>
  <si>
    <t>Eichenallee 57, 4020 Linz, Österreich</t>
  </si>
  <si>
    <t>SonnenFlussring 80, 1020 Wien, Österreich</t>
  </si>
  <si>
    <t>Dominik</t>
  </si>
  <si>
    <t>Kirchenweg 107B, 9020 Klagenfurt am Wörthersee, Österreich</t>
  </si>
  <si>
    <t>Simon</t>
  </si>
  <si>
    <t>Kärntnerweg 66, 3100 St. Pölten, Österreich</t>
  </si>
  <si>
    <t>AlleeBahnhofkai 37, 1080 Wien, Österreich</t>
  </si>
  <si>
    <t>Schubertkai 94D, 1010 Wien, Österreich</t>
  </si>
  <si>
    <t>Industriering 68, 4600 Wels, Österreich</t>
  </si>
  <si>
    <t>EichenSeestadtplatz 84, 1080 Wien, Österreich</t>
  </si>
  <si>
    <t>Marktring 36A, 1100 Wien, Österreich</t>
  </si>
  <si>
    <t>MühlDonauallee 95, 6900 Bregenz, Österreich</t>
  </si>
  <si>
    <t>Opernring 107, 3100 St. Pölten, Österreich</t>
  </si>
  <si>
    <t>Industriegasse 61, 1040 Wien, Österreich</t>
  </si>
  <si>
    <t>Promenadestraße 49, Stg. 2, Tür 39, 2700 Wiener Neustadt, Österreich</t>
  </si>
  <si>
    <t>Alleegasse 145, 8010 Graz, Österreich</t>
  </si>
  <si>
    <t>Eichenweg 153B, 1050 Wien, Österreich</t>
  </si>
  <si>
    <t>WaldMühlgasse 151, 1060 Wien, Österreich</t>
  </si>
  <si>
    <t>HaydnBahnhofallee 122, 2100 Korneuburg, Österreich</t>
  </si>
  <si>
    <t>Kärntnergasse 12, 5020 Salzburg, Österreich</t>
  </si>
  <si>
    <t>Waldstraße 103, 1040 Wien, Österreich</t>
  </si>
  <si>
    <t>Kirchenweg 17E, 4600 Wels, Österreich</t>
  </si>
  <si>
    <t>Mozartallee 117, Stg. 6, Tür 8, 2500 Baden, Österreich</t>
  </si>
  <si>
    <t>Seestadtring 111, 1080 Wien, Österreich</t>
  </si>
  <si>
    <t>HaydnBrucknerring 81, 2100 Korneuburg, Österreich</t>
  </si>
  <si>
    <t>Bahnhofstraße 24, 6900 Bregenz, Österreich</t>
  </si>
  <si>
    <t>Gartenallee 144, 1040 Wien, Österreich</t>
  </si>
  <si>
    <t>Brucknerkai 14, 4020 Linz, Österreich</t>
  </si>
  <si>
    <t>KärntnerPratergasse 58, 2100 Korneuburg, Österreich</t>
  </si>
  <si>
    <t>RingBrucknerallee 144, 4020 Linz, Österreich</t>
  </si>
  <si>
    <t>Waldallee 178, 1060 Wien, Österreich</t>
  </si>
  <si>
    <t>AlleeFeldweg 145, Stg. 6, Tür 2, 1030 Wien, Österreich</t>
  </si>
  <si>
    <t>Favoritengasse 117, 2100 Korneuburg, Österreich</t>
  </si>
  <si>
    <t>RathausGartenallee 40E, 1020 Wien, Österreich</t>
  </si>
  <si>
    <t>Brucknerplatz 107, 8010 Graz, Österreich</t>
  </si>
  <si>
    <t>Wiesenweg 152, 5020 Salzburg, Österreich</t>
  </si>
  <si>
    <t>Emma</t>
  </si>
  <si>
    <t>UniversitätsMarktstraße 55, 8010 Graz, Österreich</t>
  </si>
  <si>
    <t>Bergplatz 45E, 6020 Innsbruck, Österreich</t>
  </si>
  <si>
    <t>Promenadestraße 11, 2700 Wiener Neustadt, Österreich</t>
  </si>
  <si>
    <t>Brucknerallee 164, 1040 Wien, Österreich</t>
  </si>
  <si>
    <t>Kreuzplatz 93A, 1080 Wien, Österreich</t>
  </si>
  <si>
    <t>Kirchenplatz 87, Stg. 5, Tür 8, 8010 Graz, Österreich</t>
  </si>
  <si>
    <t>Lindenkai 187, 4600 Wels, Österreich</t>
  </si>
  <si>
    <t>FeldUniversitätsweg 40, Stg. 6, Tür 32, 4600 Wels, Österreich</t>
  </si>
  <si>
    <t>Rathauskai 175, 3500 Krems an der Donau, Österreich</t>
  </si>
  <si>
    <t>Parkgasse 121, 1100 Wien, Österreich</t>
  </si>
  <si>
    <t>PromenadeDonauallee 116C, Stg. 1, Tür 40, 1100 Wien, Österreich</t>
  </si>
  <si>
    <t>Mozartplatz 11, 9020 Klagenfurt am Wörthersee, Österreich</t>
  </si>
  <si>
    <t>Universitätsplatz 16, 9020 Klagenfurt am Wörthersee, Österreich</t>
  </si>
  <si>
    <t>Kirchenallee 11, 2700 Wiener Neustadt, Österreich</t>
  </si>
  <si>
    <t>Kreuzgasse 73, 8010 Graz, Österreich</t>
  </si>
  <si>
    <t>Alleestraße 143, 1100 Wien, Österreich</t>
  </si>
  <si>
    <t>Feldweg 90, 4600 Wels, Österreich</t>
  </si>
  <si>
    <t>Universitätsring 80, 4600 Wels, Österreich</t>
  </si>
  <si>
    <t>Favoritenstraße 109, 1010 Wien, Österreich</t>
  </si>
  <si>
    <t>Alleekai 58, Stg. 1, Tür 33, 1050 Wien, Österreich</t>
  </si>
  <si>
    <t>Favoritenstraße 159D, Stg. 6, Tür 40, 1050 Wien, Österreich</t>
  </si>
  <si>
    <t>Mariahilferstraße 174, 2700 Wiener Neustadt, Österreich</t>
  </si>
  <si>
    <t>Mariahilfergasse 80, 9020 Klagenfurt am Wörthersee, Österreich</t>
  </si>
  <si>
    <t>Rathausplatz 73, 3300 Amstetten, Österreich</t>
  </si>
  <si>
    <t>Universitätsgasse 14, 2100 Korneuburg, Österreich</t>
  </si>
  <si>
    <t>FavoritenKirchenkai 42, Stg. 4, Tür 6, 3300 Amstetten, Österreich</t>
  </si>
  <si>
    <t>Promenadestraße 102, 1080 Wien, Österreich</t>
  </si>
  <si>
    <t>Eichenstraße 26, 4600 Wels, Österreich</t>
  </si>
  <si>
    <t>Flussweg 121, 1050 Wien, Österreich</t>
  </si>
  <si>
    <t>Clara</t>
  </si>
  <si>
    <t>Kreuzstraße 5, 1050 Wien, Österreich</t>
  </si>
  <si>
    <t>FavoritenHauptplatz 61, 1020 Wien, Österreich</t>
  </si>
  <si>
    <t>DonauAugartenstraße 153, 4600 Wels, Österreich</t>
  </si>
  <si>
    <t>Feldweg 158, 3500 Krems an der Donau, Österreich</t>
  </si>
  <si>
    <t>Kirchenallee 18, 3430 Tulln, Österreich</t>
  </si>
  <si>
    <t>Magdalena</t>
  </si>
  <si>
    <t>Waldplatz 12, 2100 Korneuburg, Österreich</t>
  </si>
  <si>
    <t>BahnhofSchlossweg 149, Stg. 3, Tür 35, 2000 Stockerau, Österreich</t>
  </si>
  <si>
    <t>Ahornkai 119, 3100 St. Pölten, Österreich</t>
  </si>
  <si>
    <t>Donaustraße 12, 1020 Wien, Österreich</t>
  </si>
  <si>
    <t>Schubertkai 65F, 1070 Wien, Österreich</t>
  </si>
  <si>
    <t>AlleeIndustrieweg 112, 6900 Bregenz, Österreich</t>
  </si>
  <si>
    <t>Ahornplatz 95, 3300 Amstetten, Österreich</t>
  </si>
  <si>
    <t>Brucknerstraße 47, Stg. 3, Tür 19, 2000 Stockerau, Österreich</t>
  </si>
  <si>
    <t>Universitätsring 177, Stg. 3, Tür 40, 2700 Wiener Neustadt, Österreich</t>
  </si>
  <si>
    <t>Gartenstraße 104, 9020 Klagenfurt am Wörthersee, Österreich</t>
  </si>
  <si>
    <t>Feldkai 113A, 1080 Wien, Österreich</t>
  </si>
  <si>
    <t>MozartFeldallee 174, 2100 Korneuburg, Österreich</t>
  </si>
  <si>
    <t>Rathausgasse 102, 1090 Wien, Österreich</t>
  </si>
  <si>
    <t>Ahornplatz 144C, 6020 Innsbruck, Österreich</t>
  </si>
  <si>
    <t>AugartenBahnhofgasse 116F, 2700 Wiener Neustadt, Österreich</t>
  </si>
  <si>
    <t>PromenadeDöblingerring 75, 1060 Wien, Österreich</t>
  </si>
  <si>
    <t>Fabian</t>
  </si>
  <si>
    <t>Ahornkai 58B, Stg. 4, Tür 2, 9020 Klagenfurt am Wörthersee, Österreich</t>
  </si>
  <si>
    <t>Rathausweg 142A, 1030 Wien, Österreich</t>
  </si>
  <si>
    <t>Praterallee 105, Stg. 3, Tür 5, 1030 Wien, Österreich</t>
  </si>
  <si>
    <t>FavoritenSeestadtweg 164, 8010 Graz, Österreich</t>
  </si>
  <si>
    <t>GartenFeldkai 78C, 6020 Innsbruck, Österreich</t>
  </si>
  <si>
    <t>KirchenSeestadtweg 71C, 4020 Linz, Österreich</t>
  </si>
  <si>
    <t>Rosenallee 40E, 6900 Bregenz, Österreich</t>
  </si>
  <si>
    <t>Flusskai 21F, 8010 Graz, Österreich</t>
  </si>
  <si>
    <t>Rathausplatz 8, 4600 Wels, Österreich</t>
  </si>
  <si>
    <t>Pratergasse 176, Stg. 1, Tür 11, 2700 Wiener Neustadt, Österreich</t>
  </si>
  <si>
    <t>PraterUniversitätsplatz 37, 6020 Innsbruck, Österreich</t>
  </si>
  <si>
    <t>Sonnenkai 144B, Stg. 4, Tür 16, 2700 Wiener Neustadt, Österreich</t>
  </si>
  <si>
    <t>Gartenweg 158, 1060 Wien, Österreich</t>
  </si>
  <si>
    <t>Parkgasse 128, 2700 Wiener Neustadt, Österreich</t>
  </si>
  <si>
    <t>Waldstraße 130, 1080 Wien, Österreich</t>
  </si>
  <si>
    <t>Gartenweg 168, 1100 Wien, Österreich</t>
  </si>
  <si>
    <t>Sonnenweg 104, Stg. 5, Tür 13, 2380 Perchtoldsdorf, Österreich</t>
  </si>
  <si>
    <t>Hauptstraße 116, 1090 Wien, Österreich</t>
  </si>
  <si>
    <t>KreuzSchlossstraße 101, 2000 Stockerau, Österreich</t>
  </si>
  <si>
    <t>Feldgasse 103, Stg. 6, Tür 22, 1020 Wien, Österreich</t>
  </si>
  <si>
    <t>Donaugasse 132E, Stg. 5, Tür 20, 2000 Stockerau, Österreich</t>
  </si>
  <si>
    <t>Kärntnerkai 126, 1100 Wien, Österreich</t>
  </si>
  <si>
    <t>AlleeHaydnring 150, 6900 Bregenz, Österreich</t>
  </si>
  <si>
    <t>Universitätsplatz 168, 8010 Graz, Österreich</t>
  </si>
  <si>
    <t>Gartenallee 135, 4020 Linz, Österreich</t>
  </si>
  <si>
    <t>Mühlstraße 180A, 2700 Wiener Neustadt, Österreich</t>
  </si>
  <si>
    <t>Birkenplatz 157, 6900 Bregenz, Österreich</t>
  </si>
  <si>
    <t>Favoritengasse 170, 2380 Perchtoldsdorf, Österreich</t>
  </si>
  <si>
    <t>Döblingerweg 174, 6900 Bregenz, Österreich</t>
  </si>
  <si>
    <t>Koller</t>
  </si>
  <si>
    <t>KreuzMühlplatz 72, 1080 Wien, Österreich</t>
  </si>
  <si>
    <t>HauptAugartenring 82, 3430 Tulln, Österreich</t>
  </si>
  <si>
    <t>Hauptstraße 140, 2380 Perchtoldsdorf, Österreich</t>
  </si>
  <si>
    <t>Hauptstraße 183D, 4600 Wels, Österreich</t>
  </si>
  <si>
    <t>Lindenkai 144, Stg. 6, Tür 38, 1050 Wien, Österreich</t>
  </si>
  <si>
    <t>Gartenring 58, Stg. 3, Tür 31, 1020 Wien, Österreich</t>
  </si>
  <si>
    <t>Sonnenstraße 41, 3100 St. Pölten, Österreich</t>
  </si>
  <si>
    <t>Hauptweg 16, 1030 Wien, Österreich</t>
  </si>
  <si>
    <t>Flussgasse 46, 1020 Wien, Österreich</t>
  </si>
  <si>
    <t>Ahornring 75, 1010 Wien, Österreich</t>
  </si>
  <si>
    <t>Alleeweg 165, 3100 St. Pölten, Österreich</t>
  </si>
  <si>
    <t>DonauWiesenweg 85D, 4600 Wels, Österreich</t>
  </si>
  <si>
    <t>Alleekai 173, 1060 Wien, Österreich</t>
  </si>
  <si>
    <t>Brucknerallee 103, 1060 Wien, Österreich</t>
  </si>
  <si>
    <t>Mühlstraße 61, 1090 Wien, Österreich</t>
  </si>
  <si>
    <t>Rathausstraße 93, 1020 Wien, Österreich</t>
  </si>
  <si>
    <t>Rosenplatz 181, Stg. 3, Tür 24, 6020 Innsbruck, Österreich</t>
  </si>
  <si>
    <t>Eichengasse 117, 4020 Linz, Österreich</t>
  </si>
  <si>
    <t>Praterkai 171, 8010 Graz, Österreich</t>
  </si>
  <si>
    <t>Kirchenallee 181, Stg. 5, Tür 33, 3500 Krems an der Donau, Österreich</t>
  </si>
  <si>
    <t>DöblingerFavoritengasse 114B, 6020 Innsbruck, Österreich</t>
  </si>
  <si>
    <t>MariahilferSonnenkai 132, Stg. 4, Tür 20, 3500 Krems an der Donau, Österreich</t>
  </si>
  <si>
    <t>Schubertweg 56, 1020 Wien, Österreich</t>
  </si>
  <si>
    <t>Döblingerstraße 18, Stg. 4, Tür 12, 3100 St. Pölten, Österreich</t>
  </si>
  <si>
    <t>Haydnweg 98, 2380 Perchtoldsdorf, Österreich</t>
  </si>
  <si>
    <t>Döblingergasse 90E, 2380 Perchtoldsdorf, Österreich</t>
  </si>
  <si>
    <t>BergMarktkai 119, 3430 Tulln, Österreich</t>
  </si>
  <si>
    <t>Mühlplatz 71, 6900 Bregenz, Österreich</t>
  </si>
  <si>
    <t>Haydnallee 5, Stg. 1, Tür 29, 1030 Wien, Österreich</t>
  </si>
  <si>
    <t>Gartengasse 103, 3430 Tulln, Österreich</t>
  </si>
  <si>
    <t>Sonnenallee 60, 6900 Bregenz, Österreich</t>
  </si>
  <si>
    <t>Parkgasse 37, 3300 Amstetten, Österreich</t>
  </si>
  <si>
    <t>Gartenallee 189, 4600 Wels, Österreich</t>
  </si>
  <si>
    <t>Gartenweg 172, 3300 Amstetten, Österreich</t>
  </si>
  <si>
    <t>Feldweg 138, 1080 Wien, Österreich</t>
  </si>
  <si>
    <t>Donaustraße 107, 1050 Wien, Österreich</t>
  </si>
  <si>
    <t>AlleeMariahilferring 95F, Stg. 4, Tür 39, 1070 Wien, Österreich</t>
  </si>
  <si>
    <t>Bahnhofgasse 151, 3430 Tulln, Österreich</t>
  </si>
  <si>
    <t>MarktLindenstraße 31, 8010 Graz, Österreich</t>
  </si>
  <si>
    <t>UniversitätsMühlring 142, 1100 Wien, Österreich</t>
  </si>
  <si>
    <t>Promenadeweg 132, Stg. 6, Tür 31, 2700 Wiener Neustadt, Österreich</t>
  </si>
  <si>
    <t>Birkenweg 12, 1080 Wien, Österreich</t>
  </si>
  <si>
    <t>Seestadtallee 107, 1070 Wien, Österreich</t>
  </si>
  <si>
    <t>Mühlplatz 176, 8010 Graz, Österreich</t>
  </si>
  <si>
    <t>AugartenPromenadeplatz 44E, Stg. 5, Tür 4, 3100 St. Pölten, Österreich</t>
  </si>
  <si>
    <t>Bahnhofkai 2, 4600 Wels, Österreich</t>
  </si>
  <si>
    <t>Berggasse 96F, 5020 Salzburg, Österreich</t>
  </si>
  <si>
    <t>AugartenSeestadtstraße 106E, 6900 Bregenz, Österreich</t>
  </si>
  <si>
    <t>Kärntnerkai 111, Stg. 1, Tür 34, 1060 Wien, Österreich</t>
  </si>
  <si>
    <t>Lindenallee 91, Stg. 4, Tür 30, 2380 Perchtoldsdorf, Österreich</t>
  </si>
  <si>
    <t>Eichenweg 21, 4600 Wels, Österreich</t>
  </si>
  <si>
    <t>Mozartplatz 15, Stg. 4, Tür 28, 6020 Innsbruck, Österreich</t>
  </si>
  <si>
    <t>Rathauskai 136, 1080 Wien, Österreich</t>
  </si>
  <si>
    <t>PraterBahnhofweg 176, 3430 Tulln, Österreich</t>
  </si>
  <si>
    <t>Schmid</t>
  </si>
  <si>
    <t>Parkstraße 151F, 2380 Perchtoldsdorf, Österreich</t>
  </si>
  <si>
    <t>Rathausgasse 100, 3430 Tulln, Österreich</t>
  </si>
  <si>
    <t>Sonnenkai 186F, Stg. 4, Tür 15, 2100 Korneuburg, Österreich</t>
  </si>
  <si>
    <t>Universitätskai 153, 8010 Graz, Österreich</t>
  </si>
  <si>
    <t>MariahilferSeestadtplatz 97, 5020 Salzburg, Österreich</t>
  </si>
  <si>
    <t>Kreuzweg 183C, 1050 Wien, Österreich</t>
  </si>
  <si>
    <t>Mozartweg 24C, 2700 Wiener Neustadt, Österreich</t>
  </si>
  <si>
    <t>SonnenMariahilferstraße 143, Stg. 1, Tür 23, 2500 Baden, Österreich</t>
  </si>
  <si>
    <t>Universitätsallee 99D, 2380 Perchtoldsdorf, Österreich</t>
  </si>
  <si>
    <t>Mühlallee 176, 1050 Wien, Österreich</t>
  </si>
  <si>
    <t>FeldRingstraße 108, Stg. 3, Tür 16, 9020 Klagenfurt am Wörthersee, Österreich</t>
  </si>
  <si>
    <t>Augartenallee 118C, 1010 Wien, Österreich</t>
  </si>
  <si>
    <t>Mozartkai 113, 4600 Wels, Österreich</t>
  </si>
  <si>
    <t>Parkallee 52, 1060 Wien, Österreich</t>
  </si>
  <si>
    <t>Augartenallee 84, 9020 Klagenfurt am Wörthersee, Österreich</t>
  </si>
  <si>
    <t>Lindenallee 47, Stg. 6, Tür 30, 3430 Tulln, Österreich</t>
  </si>
  <si>
    <t>Mariahilferkai 178D, 5020 Salzburg, Österreich</t>
  </si>
  <si>
    <t>Mühlweg 184, Stg. 5, Tür 31, 2380 Perchtoldsdorf, Österreich</t>
  </si>
  <si>
    <t>Döblingerallee 178, 1020 Wien, Österreich</t>
  </si>
  <si>
    <t>Döblingerallee 22B, 5020 Salzburg, Österreich</t>
  </si>
  <si>
    <t>Kreuzstraße 166, 2380 Perchtoldsdorf, Österreich</t>
  </si>
  <si>
    <t>SchlossEichenstraße 131, 3430 Tulln, Österreich</t>
  </si>
  <si>
    <t>Mariahilferweg 174, Stg. 1, Tür 31, 3300 Amstetten, Österreich</t>
  </si>
  <si>
    <t>HaydnFeldstraße 90, 2700 Wiener Neustadt, Österreich</t>
  </si>
  <si>
    <t>PromenadeMariahilferplatz 82A, 9020 Klagenfurt am Wörthersee, Österreich</t>
  </si>
  <si>
    <t>Schlossring 63, Stg. 5, Tür 28, 3430 Tulln, Österreich</t>
  </si>
  <si>
    <t>SchubertBrucknerring 102E, 1070 Wien, Österreich</t>
  </si>
  <si>
    <t>Egger</t>
  </si>
  <si>
    <t>BergRingring 181, 1030 Wien, Österreich</t>
  </si>
  <si>
    <t>IndustrieWiesenweg 68, 3100 St. Pölten, Österreich</t>
  </si>
  <si>
    <t>Universitätsplatz 151C, 2700 Wiener Neustadt, Österreich</t>
  </si>
  <si>
    <t>Marktallee 173A, 1080 Wien, Österreich</t>
  </si>
  <si>
    <t>Feldallee 153D, Stg. 6, Tür 35, 2500 Baden, Österreich</t>
  </si>
  <si>
    <t>AhornHauptallee 36, 2700 Wiener Neustadt, Österreich</t>
  </si>
  <si>
    <t>AugartenMozartgasse 144, 3100 St. Pölten, Österreich</t>
  </si>
  <si>
    <t>MariahilferRathausplatz 8, 1080 Wien, Österreich</t>
  </si>
  <si>
    <t>DöblingerDonauweg 145, 8010 Graz, Österreich</t>
  </si>
  <si>
    <t>Rathausstraße 140, 2100 Korneuburg, Österreich</t>
  </si>
  <si>
    <t>MariahilferBrucknerallee 27, 4600 Wels, Österreich</t>
  </si>
  <si>
    <t>Mariahilferweg 23, 1040 Wien, Österreich</t>
  </si>
  <si>
    <t>Opernring 182, Stg. 2, Tür 14, 2500 Baden, Österreich</t>
  </si>
  <si>
    <t>Rathausweg 153, 2000 Stockerau, Österreich</t>
  </si>
  <si>
    <t>Rathausweg 132, 5020 Salzburg, Österreich</t>
  </si>
  <si>
    <t>Haydnstraße 168B, Stg. 3, Tür 16, 1080 Wien, Österreich</t>
  </si>
  <si>
    <t>SchubertRingplatz 161, Stg. 1, Tür 26, 2700 Wiener Neustadt, Österreich</t>
  </si>
  <si>
    <t>Ringring 95, 3100 St. Pölten, Österreich</t>
  </si>
  <si>
    <t>Kirchenring 163, 2100 Korneuburg, Österreich</t>
  </si>
  <si>
    <t>Birkenplatz 127, 1100 Wien, Österreich</t>
  </si>
  <si>
    <t>Rathauskai 88, Stg. 1, Tür 30, 8010 Graz, Österreich</t>
  </si>
  <si>
    <t>Rosenplatz 110, 6020 Innsbruck, Österreich</t>
  </si>
  <si>
    <t>Rosenkai 71C, Stg. 6, Tür 11, 1090 Wien, Österreich</t>
  </si>
  <si>
    <t>Marktring 60, 1030 Wien, Österreich</t>
  </si>
  <si>
    <t>PraterEichenstraße 133, Stg. 3, Tür 8, 1010 Wien, Österreich</t>
  </si>
  <si>
    <t>SonnenMozartplatz 23, Stg. 3, Tür 20, 1040 Wien, Österreich</t>
  </si>
  <si>
    <t>Sonnenring 37E, 1010 Wien, Österreich</t>
  </si>
  <si>
    <t>PromenadeFeldring 106, 2700 Wiener Neustadt, Österreich</t>
  </si>
  <si>
    <t>SonnenMozartkai 90, 2000 Stockerau, Österreich</t>
  </si>
  <si>
    <t>Kirchengasse 154, 1100 Wien, Österreich</t>
  </si>
  <si>
    <t>Marktgasse 131, 2380 Perchtoldsdorf, Österreich</t>
  </si>
  <si>
    <t>Augartenplatz 164, 3300 Amstetten, Österreich</t>
  </si>
  <si>
    <t>Parkgasse 146, 3430 Tulln, Österreich</t>
  </si>
  <si>
    <t>Bahnhofstraße 4, 1020 Wien, Österreich</t>
  </si>
  <si>
    <t>Hauptring 107, Stg. 5, Tür 35, 2380 Perchtoldsdorf, Österreich</t>
  </si>
  <si>
    <t>Ringstraße 131, Stg. 3, Tür 26, 9020 Klagenfurt am Wörthersee, Österreich</t>
  </si>
  <si>
    <t>Bahnhofweg 187, Stg. 1, Tür 28, 1080 Wien, Österreich</t>
  </si>
  <si>
    <t>KreuzAhornallee 31B, Stg. 4, Tür 23, 6020 Innsbruck, Österreich</t>
  </si>
  <si>
    <t>Seegasse 69, 1040 Wien, Österreich</t>
  </si>
  <si>
    <t>Brucknerweg 68, 3500 Krems an der Donau, Österreich</t>
  </si>
  <si>
    <t>KärntnerRathausweg 43, 1090 Wien, Österreich</t>
  </si>
  <si>
    <t>Wiesengasse 1A, Stg. 3, Tür 25, 1080 Wien, Österreich</t>
  </si>
  <si>
    <t>Flussallee 183, 2500 Baden, Österreich</t>
  </si>
  <si>
    <t>Parkweg 147, 3300 Amstetten, Österreich</t>
  </si>
  <si>
    <t>Eichenkai 12, 1030 Wien, Österreich</t>
  </si>
  <si>
    <t>MarktDonauweg 3, 1100 Wien, Österreich</t>
  </si>
  <si>
    <t>Kreuzgasse 152, 8010 Graz, Österreich</t>
  </si>
  <si>
    <t>MühlHaydngasse 7, 2100 Korneuburg, Österreich</t>
  </si>
  <si>
    <t>Alleestraße 97, 6900 Bregenz, Österreich</t>
  </si>
  <si>
    <t>Mühlplatz 16, 1050 Wien, Österreich</t>
  </si>
  <si>
    <t>Eichenkai 180, 2700 Wiener Neustadt, Österreich</t>
  </si>
  <si>
    <t>SchlossSchubertallee 20, 1020 Wien, Österreich</t>
  </si>
  <si>
    <t>Hauptweg 101, 6900 Bregenz, Österreich</t>
  </si>
  <si>
    <t>Eichenstraße 35, Stg. 1, Tür 11, 3500 Krems an der Donau, Österreich</t>
  </si>
  <si>
    <t>ParkPromenadeplatz 54, 2700 Wiener Neustadt, Österreich</t>
  </si>
  <si>
    <t>Rosenkai 181, 1020 Wien, Österreich</t>
  </si>
  <si>
    <t>KirchenPromenadering 102, 5020 Salzburg, Österreich</t>
  </si>
  <si>
    <t>Schubertkai 141, Stg. 2, Tür 8, 2700 Wiener Neustadt, Österreich</t>
  </si>
  <si>
    <t>EichenSchubertgasse 96, Stg. 5, Tür 17, 4600 Wels, Österreich</t>
  </si>
  <si>
    <t>Bahnhofgasse 114, 1030 Wien, Österreich</t>
  </si>
  <si>
    <t>FlussRathausplatz 111, 2380 Perchtoldsdorf, Österreich</t>
  </si>
  <si>
    <t>Brucknergasse 48, 2700 Wiener Neustadt, Österreich</t>
  </si>
  <si>
    <t>KreuzHauptallee 128, 3430 Tulln, Österreich</t>
  </si>
  <si>
    <t>Mozartgasse 165, 3300 Amstetten, Österreich</t>
  </si>
  <si>
    <t>Mozartkai 123, 3100 St. Pölten, Österreich</t>
  </si>
  <si>
    <t>Parkplatz 7, Stg. 3, Tür 4, 1080 Wien, Österreich</t>
  </si>
  <si>
    <t>Promenadekai 60, 1040 Wien, Österreich</t>
  </si>
  <si>
    <t>Döblingerkai 189B, 3500 Krems an der Donau, Österreich</t>
  </si>
  <si>
    <t>AhornParkgasse 189, Stg. 6, Tür 23, 3500 Krems an der Donau, Österreich</t>
  </si>
  <si>
    <t>Feldallee 127, 1060 Wien, Österreich</t>
  </si>
  <si>
    <t>EichenFavoritenallee 123E, 1070 Wien, Österreich</t>
  </si>
  <si>
    <t>Ahornkai 83B, 3500 Krems an der Donau, Österreich</t>
  </si>
  <si>
    <t>Wiesenkai 94, 2100 Korneuburg, Österreich</t>
  </si>
  <si>
    <t>Opernstraße 83B, 6900 Bregenz, Österreich</t>
  </si>
  <si>
    <t>Parkgasse 144, 4020 Linz, Österreich</t>
  </si>
  <si>
    <t>OpernMarktkai 188, Stg. 1, Tür 37, 1050 Wien, Österreich</t>
  </si>
  <si>
    <t>RathausParkstraße 157, Stg. 4, Tür 10, 3500 Krems an der Donau, Österreich</t>
  </si>
  <si>
    <t>Bahnhofgasse 82A, 6020 Innsbruck, Österreich</t>
  </si>
  <si>
    <t>Mariahilferstraße 64, 2100 Korneuburg, Österreich</t>
  </si>
  <si>
    <t>Bergstraße 188, 1060 Wien, Österreich</t>
  </si>
  <si>
    <t>Promenadeallee 123, 3500 Krems an der Donau, Österreich</t>
  </si>
  <si>
    <t>RosenFlussplatz 76C, Stg. 2, Tür 25, 1040 Wien, Österreich</t>
  </si>
  <si>
    <t>Bahnhofallee 24, 4020 Linz, Österreich</t>
  </si>
  <si>
    <t>Brucknerring 41C, 1070 Wien, Österreich</t>
  </si>
  <si>
    <t>Seestadtring 139, 1100 Wien, Österreich</t>
  </si>
  <si>
    <t>Schubertallee 126C, 1010 Wien, Österreich</t>
  </si>
  <si>
    <t>UniversitätsWaldplatz 53C, 1030 Wien, Österreich</t>
  </si>
  <si>
    <t>Schubertplatz 170, 4600 Wels, Österreich</t>
  </si>
  <si>
    <t>MozartFlussweg 68, 1090 Wien, Österreich</t>
  </si>
  <si>
    <t>Gartengasse 171F, 2100 Korneuburg, Österreich</t>
  </si>
  <si>
    <t>Operngasse 100, 2500 Baden, Österreich</t>
  </si>
  <si>
    <t>Rathausgasse 21, Stg. 5, Tür 34, 6020 Innsbruck, Österreich</t>
  </si>
  <si>
    <t>KreuzMariahilfergasse 45, 1060 Wien, Österreich</t>
  </si>
  <si>
    <t>FlussBrucknerplatz 52, Stg. 5, Tür 17, 4600 Wels, Österreich</t>
  </si>
  <si>
    <t>Bahnhofstraße 102, 1090 Wien, Österreich</t>
  </si>
  <si>
    <t>Kreuzallee 108B, 1050 Wien, Österreich</t>
  </si>
  <si>
    <t>Schlossstraße 26, 3430 Tulln, Österreich</t>
  </si>
  <si>
    <t>Mozartring 156, 1060 Wien, Österreich</t>
  </si>
  <si>
    <t>Universitätsring 10, 2000 Stockerau, Österreich</t>
  </si>
  <si>
    <t>Praterweg 6, 9020 Klagenfurt am Wörthersee, Österreich</t>
  </si>
  <si>
    <t>SchlossMarktkai 114, 2000 Stockerau, Österreich</t>
  </si>
  <si>
    <t>Kirchengasse 105, 8010 Graz, Österreich</t>
  </si>
  <si>
    <t>KärntnerMarktkai 182, 1050 Wien, Österreich</t>
  </si>
  <si>
    <t>WaldLindengasse 15, Stg. 3, Tür 13, 2700 Wiener Neustadt, Österreich</t>
  </si>
  <si>
    <t>Donauallee 32, 1080 Wien, Österreich</t>
  </si>
  <si>
    <t>Ahornkai 142, 1060 Wien, Österreich</t>
  </si>
  <si>
    <t>KirchenGartenweg 42, 8010 Graz, Österreich</t>
  </si>
  <si>
    <t>EichenHaydnring 132F, 1010 Wien, Österreich</t>
  </si>
  <si>
    <t>Ahornallee 58, 9020 Klagenfurt am Wörthersee, Österreich</t>
  </si>
  <si>
    <t>Ringplatz 90, 1070 Wien, Österreich</t>
  </si>
  <si>
    <t>Kreuzplatz 2, 5020 Salzburg, Österreich</t>
  </si>
  <si>
    <t>Universitätsallee 176A, 2000 Stockerau, Österreich</t>
  </si>
  <si>
    <t>Ringweg 167, 1050 Wien, Österreich</t>
  </si>
  <si>
    <t>Universitätsplatz 175A, 4600 Wels, Österreich</t>
  </si>
  <si>
    <t>Haydnplatz 10, 3500 Krems an der Donau, Österreich</t>
  </si>
  <si>
    <t>Eichenring 122, 5020 Salzburg, Österreich</t>
  </si>
  <si>
    <t>Seestadtgasse 121C, 6900 Bregenz, Österreich</t>
  </si>
  <si>
    <t>AlleePromenadering 58, 1100 Wien, Österreich</t>
  </si>
  <si>
    <t>Seeallee 31, 4600 Wels, Österreich</t>
  </si>
  <si>
    <t>Pratergasse 175, 1100 Wien, Österreich</t>
  </si>
  <si>
    <t>Lindenweg 146, Stg. 6, Tür 12, 2700 Wiener Neustadt, Österreich</t>
  </si>
  <si>
    <t>Augartenweg 46, Stg. 3, Tür 14, 1020 Wien, Österreich</t>
  </si>
  <si>
    <t>Rosenallee 126, Stg. 5, Tür 28, 8010 Graz, Österreich</t>
  </si>
  <si>
    <t>Schubertplatz 99E, 1070 Wien, Österreich</t>
  </si>
  <si>
    <t>FavoritenBerggasse 161, 1080 Wien, Österreich</t>
  </si>
  <si>
    <t>Sonnenstraße 151, 1030 Wien, Österreich</t>
  </si>
  <si>
    <t>Donauring 135, 5020 Salzburg, Österreich</t>
  </si>
  <si>
    <t>PromenadeSchubertkai 5, 6900 Bregenz, Österreich</t>
  </si>
  <si>
    <t>Waldallee 32, 4600 Wels, Österreich</t>
  </si>
  <si>
    <t>Seekai 13, 1020 Wien, Österreich</t>
  </si>
  <si>
    <t>GartenMariahilferring 98C, 3100 St. Pölten, Österreich</t>
  </si>
  <si>
    <t>Bergweg 26, 1090 Wien, Österreich</t>
  </si>
  <si>
    <t>Haydnkai 131, 1040 Wien, Österreich</t>
  </si>
  <si>
    <t>LindenSeeallee 134, 2100 Korneuburg, Österreich</t>
  </si>
  <si>
    <t>Flussallee 54, 3100 St. Pölten, Österreich</t>
  </si>
  <si>
    <t>Kirchenstraße 172, 1030 Wien, Österreich</t>
  </si>
  <si>
    <t>Schlossweg 117, 1100 Wien, Österreich</t>
  </si>
  <si>
    <t>AhornHauptkai 93, 2000 Stockerau, Österreich</t>
  </si>
  <si>
    <t>Flussstraße 170, 2000 Stockerau, Österreich</t>
  </si>
  <si>
    <t>RingAlleering 47D, 2700 Wiener Neustadt, Österreich</t>
  </si>
  <si>
    <t>Praterkai 43F, Stg. 2, Tür 7, 6900 Bregenz, Österreich</t>
  </si>
  <si>
    <t>Praterkai 113, 2380 Perchtoldsdorf, Österreich</t>
  </si>
  <si>
    <t>Sonnenplatz 29, Stg. 3, Tür 21, 2700 Wiener Neustadt, Österreich</t>
  </si>
  <si>
    <t>Favoritenkai 186, 5020 Salzburg, Österreich</t>
  </si>
  <si>
    <t>Kreuzstraße 187, 2100 Korneuburg, Österreich</t>
  </si>
  <si>
    <t>Feldkai 157F, 1060 Wien, Österreich</t>
  </si>
  <si>
    <t>Rosenstraße 83, Stg. 2, Tür 36, 1090 Wien, Österreich</t>
  </si>
  <si>
    <t>SchubertDonaukai 114, Stg. 4, Tür 29, 2700 Wiener Neustadt, Österreich</t>
  </si>
  <si>
    <t>Augartenring 27, 1020 Wien, Österreich</t>
  </si>
  <si>
    <t>Universitätsallee 131, 4600 Wels, Österreich</t>
  </si>
  <si>
    <t>GartenDonaukai 85, 4020 Linz, Österreich</t>
  </si>
  <si>
    <t>Industriering 25, Stg. 3, Tür 19, 1080 Wien, Österreich</t>
  </si>
  <si>
    <t>IndustrieRosenring 127F, 6900 Bregenz, Österreich</t>
  </si>
  <si>
    <t>KreuzSchubertgasse 56, Stg. 3, Tür 7, 9020 Klagenfurt am Wörthersee, Österreich</t>
  </si>
  <si>
    <t>Flussring 151D, 2700 Wiener Neustadt, Österreich</t>
  </si>
  <si>
    <t>Augartenstraße 13, 2500 Baden, Österreich</t>
  </si>
  <si>
    <t>Ahornring 188, 1040 Wien, Österreich</t>
  </si>
  <si>
    <t>Parkallee 108, 6020 Innsbruck, Österreich</t>
  </si>
  <si>
    <t>Alleeweg 35E, 6020 Innsbruck, Österreich</t>
  </si>
  <si>
    <t>Seestadtkai 189, 4600 Wels, Österreich</t>
  </si>
  <si>
    <t>Hauptring 173F, 4600 Wels, Österreich</t>
  </si>
  <si>
    <t>Döblingerring 182C, 3430 Tulln, Österreich</t>
  </si>
  <si>
    <t>Haydnring 137, 2500 Baden, Österreich</t>
  </si>
  <si>
    <t>WaldGartenplatz 52, Stg. 3, Tür 17, 9020 Klagenfurt am Wörthersee, Österreich</t>
  </si>
  <si>
    <t>Hauptgasse 9, Stg. 6, Tür 36, 2700 Wiener Neustadt, Österreich</t>
  </si>
  <si>
    <t>SeestadtHauptplatz 178, 2380 Perchtoldsdorf, Österreich</t>
  </si>
  <si>
    <t>SeestadtSeestraße 52, 8010 Graz, Österreich</t>
  </si>
  <si>
    <t>Industriekai 155, 6900 Bregenz, Österreich</t>
  </si>
  <si>
    <t>Ahornring 189, Stg. 3, Tür 36, 2380 Perchtoldsdorf, Österreich</t>
  </si>
  <si>
    <t>Rosenallee 2, 6020 Innsbruck, Österreich</t>
  </si>
  <si>
    <t>ParkKreuzallee 170, 9020 Klagenfurt am Wörthersee, Österreich</t>
  </si>
  <si>
    <t>ParkAhornallee 134E, 1060 Wien, Österreich</t>
  </si>
  <si>
    <t>KirchenBirkenweg 170, 2100 Korneuburg, Österreich</t>
  </si>
  <si>
    <t>Favoritenplatz 167F, 2100 Korneuburg, Österreich</t>
  </si>
  <si>
    <t>Kreuzgasse 175, 2380 Perchtoldsdorf, Österreich</t>
  </si>
  <si>
    <t>Seeallee 7, 8010 Graz, Österreich</t>
  </si>
  <si>
    <t>Augartenstraße 167, Stg. 1, Tür 11, 3300 Amstetten, Österreich</t>
  </si>
  <si>
    <t>Döblingerstraße 54, 8010 Graz, Österreich</t>
  </si>
  <si>
    <t>Schlossgasse 180, 6900 Bregenz, Österreich</t>
  </si>
  <si>
    <t>Feldstraße 85A, Stg. 3, Tür 36, 1020 Wien, Österreich</t>
  </si>
  <si>
    <t>Eichenweg 116, 2500 Baden, Österreich</t>
  </si>
  <si>
    <t>WiesenKreuzallee 17, Stg. 1, Tür 23, 3500 Krems an der Donau, Österreich</t>
  </si>
  <si>
    <t>Hauptkai 156D, 2380 Perchtoldsdorf, Österreich</t>
  </si>
  <si>
    <t>Pratergasse 35, 9020 Klagenfurt am Wörthersee, Österreich</t>
  </si>
  <si>
    <t>Feldweg 187, 1010 Wien, Österreich</t>
  </si>
  <si>
    <t>WiesenUniversitätsstraße 101, 1030 Wien, Österreich</t>
  </si>
  <si>
    <t>Promenadegasse 166, Stg. 2, Tür 40, 1050 Wien, Österreich</t>
  </si>
  <si>
    <t>Wiesengasse 146, 8010 Graz, Österreich</t>
  </si>
  <si>
    <t>Seestadtstraße 18, 1070 Wien, Österreich</t>
  </si>
  <si>
    <t>Promenadegasse 61E, 1030 Wien, Österreich</t>
  </si>
  <si>
    <t>Mariahilferweg 79, 1050 Wien, Österreich</t>
  </si>
  <si>
    <t>BrucknerMühlgasse 57, 4600 Wels, Österreich</t>
  </si>
  <si>
    <t>Alleeplatz 92, 3100 St. Pölten, Österreich</t>
  </si>
  <si>
    <t>Universitätsstraße 36, 1070 Wien, Österreich</t>
  </si>
  <si>
    <t>Bahnhofstraße 162E, 3500 Krems an der Donau, Österreich</t>
  </si>
  <si>
    <t>Flussallee 139, Stg. 4, Tür 15, 8010 Graz, Österreich</t>
  </si>
  <si>
    <t>Hauptgasse 131C, Stg. 2, Tür 40, 3300 Amstetten, Österreich</t>
  </si>
  <si>
    <t>Kärntnergasse 46, 3500 Krems an der Donau, Österreich</t>
  </si>
  <si>
    <t>PraterAugartenweg 60C, Stg. 2, Tür 34, 1080 Wien, Österreich</t>
  </si>
  <si>
    <t>Praterplatz 11, Stg. 5, Tür 18, 2000 Stockerau, Österreich</t>
  </si>
  <si>
    <t>Opernallee 97, 2100 Korneuburg, Österreich</t>
  </si>
  <si>
    <t>Seeplatz 58, 2100 Korneuburg, Österreich</t>
  </si>
  <si>
    <t>PraterSonnenallee 113A, 3300 Amstetten, Österreich</t>
  </si>
  <si>
    <t>Ahorngasse 184, 5020 Salzburg, Österreich</t>
  </si>
  <si>
    <t>Wiesenplatz 123, 1060 Wien, Österreich</t>
  </si>
  <si>
    <t>MühlOpernstraße 42E, 1020 Wien, Österreich</t>
  </si>
  <si>
    <t>Rosenweg 133, 4020 Linz, Österreich</t>
  </si>
  <si>
    <t>HauptUniversitätsstraße 121, 1060 Wien, Österreich</t>
  </si>
  <si>
    <t>Feldkai 47, 3300 Amstetten, Österreich</t>
  </si>
  <si>
    <t>Alleeplatz 18, Stg. 1, Tür 13, 2380 Perchtoldsdorf, Österreich</t>
  </si>
  <si>
    <t>HaydnSchlosskai 46, 4020 Linz, Österreich</t>
  </si>
  <si>
    <t>Wiesenstraße 34, 3430 Tulln, Österreich</t>
  </si>
  <si>
    <t>Brucknerallee 12, 2500 Baden, Österreich</t>
  </si>
  <si>
    <t>Mozartweg 179, Stg. 4, Tür 15, 2500 Baden, Österreich</t>
  </si>
  <si>
    <t>Universitätsallee 49F, Stg. 5, Tür 8, 9020 Klagenfurt am Wörthersee, Österreich</t>
  </si>
  <si>
    <t>MozartParkring 105, 1050 Wien, Österreich</t>
  </si>
  <si>
    <t>Seekai 145, 1090 Wien, Österreich</t>
  </si>
  <si>
    <t>Birkenplatz 143, 2100 Korneuburg, Österreich</t>
  </si>
  <si>
    <t>Marktallee 181, 1050 Wien, Österreich</t>
  </si>
  <si>
    <t>Eichenplatz 42E, 2380 Perchtoldsdorf, Österreich</t>
  </si>
  <si>
    <t>Gartengasse 163A, 1050 Wien, Österreich</t>
  </si>
  <si>
    <t>Kirchenstraße 95A, 6900 Bregenz, Österreich</t>
  </si>
  <si>
    <t>Favoritenweg 153B, 4600 Wels, Österreich</t>
  </si>
  <si>
    <t>FavoritenUniversitätsweg 131, 1080 Wien, Österreich</t>
  </si>
  <si>
    <t>Industriegasse 41C, 8010 Graz, Österreich</t>
  </si>
  <si>
    <t>SchubertBergallee 189, 1030 Wien, Österreich</t>
  </si>
  <si>
    <t>Opernweg 71, 1070 Wien, Österreich</t>
  </si>
  <si>
    <t>BergKärntnerweg 28, 3300 Amstetten, Österreich</t>
  </si>
  <si>
    <t>Seeallee 148, 2700 Wiener Neustadt, Österreich</t>
  </si>
  <si>
    <t>Mühlkai 118, 3500 Krems an der Donau, Österreich</t>
  </si>
  <si>
    <t>Seestraße 57, 1080 Wien, Österreich</t>
  </si>
  <si>
    <t>FavoritenSeeallee 64, 2380 Perchtoldsdorf, Österreich</t>
  </si>
  <si>
    <t>Seestadtgasse 91, 3500 Krems an der Donau, Österreich</t>
  </si>
  <si>
    <t>Lindenplatz 61, 1090 Wien, Österreich</t>
  </si>
  <si>
    <t>KreuzSchlossweg 31, 5020 Salzburg, Österreich</t>
  </si>
  <si>
    <t>Bergkai 11, 2100 Korneuburg, Österreich</t>
  </si>
  <si>
    <t>RingKärntnerplatz 72, 8010 Graz, Österreich</t>
  </si>
  <si>
    <t>Brucknerplatz 9, 2380 Perchtoldsdorf, Österreich</t>
  </si>
  <si>
    <t>Donaustraße 118, Stg. 2, Tür 25, 1010 Wien, Österreich</t>
  </si>
  <si>
    <t>Parkweg 67, 1090 Wien, Österreich</t>
  </si>
  <si>
    <t>AlleeBrucknerweg 54, 8010 Graz, Österreich</t>
  </si>
  <si>
    <t>Mariahilfergasse 148, 1040 Wien, Österreich</t>
  </si>
  <si>
    <t>Brucknerkai 38, Stg. 1, Tür 12, 6900 Bregenz, Österreich</t>
  </si>
  <si>
    <t>Sonnenkai 137, 9020 Klagenfurt am Wörthersee, Österreich</t>
  </si>
  <si>
    <t>Rathausstraße 177B, 1090 Wien, Österreich</t>
  </si>
  <si>
    <t>Mariahilferring 93, 3430 Tulln, Österreich</t>
  </si>
  <si>
    <t>WaldUniversitätsplatz 51, 4600 Wels, Österreich</t>
  </si>
  <si>
    <t>Hauptweg 131, 6900 Bregenz, Österreich</t>
  </si>
  <si>
    <t>Kreuzweg 38, 4600 Wels, Österreich</t>
  </si>
  <si>
    <t>Kreuzallee 19C, 1080 Wien, Österreich</t>
  </si>
  <si>
    <t>Ringallee 70, 8010 Graz, Österreich</t>
  </si>
  <si>
    <t>Opernallee 106A, 1050 Wien, Österreich</t>
  </si>
  <si>
    <t>KirchenSchlossgasse 25D, Stg. 4, Tür 34, 3430 Tulln, Österreich</t>
  </si>
  <si>
    <t>Schlossweg 22, 2380 Perchtoldsdorf, Österreich</t>
  </si>
  <si>
    <t>Hauptplatz 34, Stg. 6, Tür 23, 1060 Wien, Österreich</t>
  </si>
  <si>
    <t>Donaukai 70, 1050 Wien, Österreich</t>
  </si>
  <si>
    <t>Ahornallee 162, 3500 Krems an der Donau, Österreich</t>
  </si>
  <si>
    <t>Döblingerweg 124, Stg. 3, Tür 24, 9020 Klagenfurt am Wörthersee, Österreich</t>
  </si>
  <si>
    <t>FeldFavoritenweg 35, 3100 St. Pölten, Österreich</t>
  </si>
  <si>
    <t>PraterBrucknerweg 75, Stg. 3, Tür 13, 9020 Klagenfurt am Wörthersee, Österreich</t>
  </si>
  <si>
    <t>BrucknerMozartplatz 97, 1030 Wien, Österreich</t>
  </si>
  <si>
    <t>Kreuzkai 70, 6900 Bregenz, Österreich</t>
  </si>
  <si>
    <t>LindenSonnenkai 75D, 4020 Linz, Österreich</t>
  </si>
  <si>
    <t>Augartengasse 39E, Stg. 1, Tür 19, 1010 Wien, Österreich</t>
  </si>
  <si>
    <t>MariahilferKirchenring 39B, 2000 Stockerau, Österreich</t>
  </si>
  <si>
    <t>Donauring 85B, 1020 Wien, Österreich</t>
  </si>
  <si>
    <t>DöblingerSeeplatz 98, 1040 Wien, Österreich</t>
  </si>
  <si>
    <t>Mozartkai 64, Stg. 6, Tür 7, 1020 Wien, Österreich</t>
  </si>
  <si>
    <t>Birkenplatz 80, 1060 Wien, Österreich</t>
  </si>
  <si>
    <t>SeestadtPraterallee 164, 2100 Korneuburg, Österreich</t>
  </si>
  <si>
    <t>Wiesengasse 84C, Stg. 2, Tür 1, 3500 Krems an der Donau, Österreich</t>
  </si>
  <si>
    <t>Praterring 96, Stg. 1, Tür 40, 1080 Wien, Österreich</t>
  </si>
  <si>
    <t>Gartenstraße 40, Stg. 4, Tür 15, 9020 Klagenfurt am Wörthersee, Österreich</t>
  </si>
  <si>
    <t>Promenadekai 188, 6020 Innsbruck, Österreich</t>
  </si>
  <si>
    <t>Seestraße 113, 3430 Tulln, Österreich</t>
  </si>
  <si>
    <t>Ahornallee 188, 4020 Linz, Österreich</t>
  </si>
  <si>
    <t>BahnhofHauptallee 68, Stg. 6, Tür 33, 2700 Wiener Neustadt, Österreich</t>
  </si>
  <si>
    <t>Ahornstraße 94, 1080 Wien, Österreich</t>
  </si>
  <si>
    <t>Döblingerkai 135, 8010 Graz, Österreich</t>
  </si>
  <si>
    <t>Parkplatz 29F, Stg. 2, Tür 12, 1030 Wien, Österreich</t>
  </si>
  <si>
    <t>SchlossFlussplatz 147, 2380 Perchtoldsdorf, Österreich</t>
  </si>
  <si>
    <t>OpernEichenweg 156, 1010 Wien, Österreich</t>
  </si>
  <si>
    <t>AugartenGartenkai 93, 2500 Baden, Österreich</t>
  </si>
  <si>
    <t>Kreuzweg 188C, 1030 Wien, Österreich</t>
  </si>
  <si>
    <t>SchlossMozartring 49, 5020 Salzburg, Österreich</t>
  </si>
  <si>
    <t>Seestadtring 28, 3500 Krems an der Donau, Österreich</t>
  </si>
  <si>
    <t>BrucknerAhornstraße 141, 2000 Stockerau, Österreich</t>
  </si>
  <si>
    <t>Mariahilferweg 141, 2000 Stockerau, Österreich</t>
  </si>
  <si>
    <t>Brucknerkai 156, 3430 Tulln, Österreich</t>
  </si>
  <si>
    <t>Seeweg 115, 1010 Wien, Österreich</t>
  </si>
  <si>
    <t>WaldMarktallee 2, 1080 Wien, Österreich</t>
  </si>
  <si>
    <t>Ringallee 147, Stg. 4, Tür 23, 1050 Wien, Österreich</t>
  </si>
  <si>
    <t>Seeweg 64, 9020 Klagenfurt am Wörthersee, Österreich</t>
  </si>
  <si>
    <t>Rathausgasse 186, Stg. 6, Tür 37, 3100 St. Pölten, Österreich</t>
  </si>
  <si>
    <t>Marktstraße 148, Stg. 3, Tür 23, 8010 Graz, Österreich</t>
  </si>
  <si>
    <t>Wiesenkai 168, 1010 Wien, Österreich</t>
  </si>
  <si>
    <t>Gartenweg 82, 1050 Wien, Österreich</t>
  </si>
  <si>
    <t>Feldstraße 101, 8010 Graz, Österreich</t>
  </si>
  <si>
    <t>Eichenplatz 101C, 1030 Wien, Österreich</t>
  </si>
  <si>
    <t>Seestadtplatz 103, 8010 Graz, Österreich</t>
  </si>
  <si>
    <t>PraterSchubertallee 167, 3430 Tulln, Österreich</t>
  </si>
  <si>
    <t>MühlBrucknergasse 83, Stg. 6, Tür 27, 3500 Krems an der Donau, Österreich</t>
  </si>
  <si>
    <t>Promenadegasse 153, 8010 Graz, Österreich</t>
  </si>
  <si>
    <t>MariahilferFlussallee 60, Stg. 6, Tür 6, 2100 Korneuburg, Österreich</t>
  </si>
  <si>
    <t>Gartengasse 38, Stg. 6, Tür 8, 1100 Wien, Österreich</t>
  </si>
  <si>
    <t>Praterstraße 138, 3430 Tulln, Österreich</t>
  </si>
  <si>
    <t>Praterallee 37, Stg. 5, Tür 34, 5020 Salzburg, Österreich</t>
  </si>
  <si>
    <t>Rosenstraße 179, 1020 Wien, Österreich</t>
  </si>
  <si>
    <t>Mozartring 169, Stg. 6, Tür 25, 1040 Wien, Österreich</t>
  </si>
  <si>
    <t>KärntnerParkring 125, Stg. 2, Tür 33, 3430 Tulln, Österreich</t>
  </si>
  <si>
    <t>WaldFavoritenstraße 79, 2380 Perchtoldsdorf, Österreich</t>
  </si>
  <si>
    <t>Promenadeweg 61, 3300 Amstetten, Österreich</t>
  </si>
  <si>
    <t>Seeplatz 8, 1090 Wien, Österreich</t>
  </si>
  <si>
    <t>Sonnenstraße 134, 4020 Linz, Österreich</t>
  </si>
  <si>
    <t>Haydngasse 110, 4020 Linz, Österreich</t>
  </si>
  <si>
    <t>BirkenDöblingerring 176, 1050 Wien, Österreich</t>
  </si>
  <si>
    <t>Sonnenplatz 38, 3500 Krems an der Donau, Österreich</t>
  </si>
  <si>
    <t>Seestadtallee 31, 1050 Wien, Österreich</t>
  </si>
  <si>
    <t>Haydnplatz 164, Stg. 2, Tür 7, 1090 Wien, Österreich</t>
  </si>
  <si>
    <t>Waldkai 158, 3500 Krems an der Donau, Österreich</t>
  </si>
  <si>
    <t>EichenKirchenring 177, 1050 Wien, Österreich</t>
  </si>
  <si>
    <t>Industriegasse 126, Stg. 1, Tür 27, 1060 Wien, Österreich</t>
  </si>
  <si>
    <t>RingLindenplatz 53D, 4020 Linz, Österreich</t>
  </si>
  <si>
    <t>Mühlplatz 11, 2380 Perchtoldsdorf, Österreich</t>
  </si>
  <si>
    <t>Rathausallee 165, Stg. 1, Tür 29, 9020 Klagenfurt am Wörthersee, Österreich</t>
  </si>
  <si>
    <t>Mühlallee 189D, 3300 Amstetten, Österreich</t>
  </si>
  <si>
    <t>Hauptplatz 78, 1100 Wien, Österreich</t>
  </si>
  <si>
    <t>Kreuzstraße 37, 4600 Wels, Österreich</t>
  </si>
  <si>
    <t>Wiesengasse 179, 2380 Perchtoldsdorf, Österreich</t>
  </si>
  <si>
    <t>Ahornplatz 183, Stg. 3, Tür 11, 2700 Wiener Neustadt, Österreich</t>
  </si>
  <si>
    <t>WiesenMariahilferstraße 163, 3300 Amstetten, Österreich</t>
  </si>
  <si>
    <t>Kreuzgasse 98B, 2000 Stockerau, Österreich</t>
  </si>
  <si>
    <t>RosenGartenkai 108, 6900 Bregenz, Österreich</t>
  </si>
  <si>
    <t>Ahornstraße 52C, 1010 Wien, Österreich</t>
  </si>
  <si>
    <t>Bergallee 61, 5020 Salzburg, Österreich</t>
  </si>
  <si>
    <t>Kirchenallee 63, 1090 Wien, Österreich</t>
  </si>
  <si>
    <t>GartenPromenadegasse 10A, 5020 Salzburg, Österreich</t>
  </si>
  <si>
    <t>AlleeHaydnstraße 46C, 4020 Linz, Österreich</t>
  </si>
  <si>
    <t>Rathauskai 117, 2100 Korneuburg, Österreich</t>
  </si>
  <si>
    <t>Marktweg 98, 8010 Graz, Österreich</t>
  </si>
  <si>
    <t>HauptRingplatz 85, 3300 Amstetten, Österreich</t>
  </si>
  <si>
    <t>Gartenstraße 162, 1030 Wien, Österreich</t>
  </si>
  <si>
    <t>Hauptplatz 82, 3500 Krems an der Donau, Österreich</t>
  </si>
  <si>
    <t>Kreuzallee 187, 3100 St. Pölten, Österreich</t>
  </si>
  <si>
    <t>HauptWaldgasse 120, 1040 Wien, Österreich</t>
  </si>
  <si>
    <t>HaydnPromenadeplatz 144, Stg. 2, Tür 19, 1070 Wien, Österreich</t>
  </si>
  <si>
    <t>Marktweg 83, 1040 Wien, Österreich</t>
  </si>
  <si>
    <t>Rathausallee 45, 2000 Stockerau, Österreich</t>
  </si>
  <si>
    <t>FlussFeldring 161, 3430 Tulln, Österreich</t>
  </si>
  <si>
    <t>Gartenkai 145, 2000 Stockerau, Österreich</t>
  </si>
  <si>
    <t>Rathausring 91B, 1090 Wien, Österreich</t>
  </si>
  <si>
    <t>DöblingerUniversitätskai 100, 1040 Wien, Österreich</t>
  </si>
  <si>
    <t>ParkHaydnring 23, 1080 Wien, Österreich</t>
  </si>
  <si>
    <t>FavoritenIndustrieweg 10, 1030 Wien, Österreich</t>
  </si>
  <si>
    <t>KärntnerPratergasse 188, 1100 Wien, Österreich</t>
  </si>
  <si>
    <t>Schlosskai 133, 1050 Wien, Österreich</t>
  </si>
  <si>
    <t>Mozartring 30A, 5020 Salzburg, Österreich</t>
  </si>
  <si>
    <t>DonauMarktstraße 6, 1100 Wien, Österreich</t>
  </si>
  <si>
    <t>Lindengasse 137, 2700 Wiener Neustadt, Österreich</t>
  </si>
  <si>
    <t>RosenKreuzweg 144, 1070 Wien, Österreich</t>
  </si>
  <si>
    <t>Ringgasse 73, Stg. 5, Tür 22, 1060 Wien, Österreich</t>
  </si>
  <si>
    <t>Gartengasse 28, 1030 Wien, Österreich</t>
  </si>
  <si>
    <t>Universitätsallee 177, 4020 Linz, Österreich</t>
  </si>
  <si>
    <t>Döblingerstraße 120, 1030 Wien, Österreich</t>
  </si>
  <si>
    <t>Schlossplatz 165, 2700 Wiener Neustadt, Österreich</t>
  </si>
  <si>
    <t>Kreuzweg 101, 5020 Salzburg, Österreich</t>
  </si>
  <si>
    <t>AugartenWiesenstraße 90, 1060 Wien, Österreich</t>
  </si>
  <si>
    <t>Rathausgasse 104, Stg. 5, Tür 5, 9020 Klagenfurt am Wörthersee, Österreich</t>
  </si>
  <si>
    <t>Donauplatz 62, Stg. 4, Tür 25, 3430 Tulln, Österreich</t>
  </si>
  <si>
    <t>Birkenkai 111, 2500 Baden, Österreich</t>
  </si>
  <si>
    <t>Mühlgasse 20, 6020 Innsbruck, Österreich</t>
  </si>
  <si>
    <t>Opernallee 143D, 1060 Wien, Österreich</t>
  </si>
  <si>
    <t>Universitätsstraße 153, 2380 Perchtoldsdorf, Österreich</t>
  </si>
  <si>
    <t>GartenSonnenstraße 149, 4600 Wels, Österreich</t>
  </si>
  <si>
    <t>Feldplatz 100, Stg. 6, Tür 21, 2700 Wiener Neustadt, Österreich</t>
  </si>
  <si>
    <t>Marktplatz 89, Stg. 5, Tür 26, 3500 Krems an der Donau, Österreich</t>
  </si>
  <si>
    <t>Gartenweg 14E, Stg. 3, Tür 2, 2100 Korneuburg, Österreich</t>
  </si>
  <si>
    <t>Opernplatz 183, 2380 Perchtoldsdorf, Österreich</t>
  </si>
  <si>
    <t>AhornSeestadtplatz 99, 2100 Korneuburg, Österreich</t>
  </si>
  <si>
    <t>SonnenWaldgasse 37, 3100 St. Pölten, Österreich</t>
  </si>
  <si>
    <t>Sonnenring 117, 6020 Innsbruck, Österreich</t>
  </si>
  <si>
    <t>Ahornplatz 142, 2380 Perchtoldsdorf, Österreich</t>
  </si>
  <si>
    <t>Universitätsstraße 188, 3300 Amstetten, Österreich</t>
  </si>
  <si>
    <t>Industriestraße 146, Stg. 4, Tür 6, 2100 Korneuburg, Österreich</t>
  </si>
  <si>
    <t>Favoritenkai 72, 1030 Wien, Österreich</t>
  </si>
  <si>
    <t>Mühlplatz 170, 1030 Wien, Österreich</t>
  </si>
  <si>
    <t>MarktAlleeallee 137, 3100 St. Pölten, Österreich</t>
  </si>
  <si>
    <t>Alleeplatz 76, 1020 Wien, Österreich</t>
  </si>
  <si>
    <t>Marktring 67D, Stg. 1, Tür 19, 3500 Krems an der Donau, Österreich</t>
  </si>
  <si>
    <t>Waldweg 33, 9020 Klagenfurt am Wörthersee, Österreich</t>
  </si>
  <si>
    <t>Ringweg 4, Stg. 5, Tür 10, 4020 Linz, Österreich</t>
  </si>
  <si>
    <t>IndustrieMühlkai 125, 3300 Amstetten, Österreich</t>
  </si>
  <si>
    <t>Feldallee 40, 8010 Graz, Österreich</t>
  </si>
  <si>
    <t>Mühlring 164E, 6900 Bregenz, Österreich</t>
  </si>
  <si>
    <t>Seekai 14D, 3100 St. Pölten, Österreich</t>
  </si>
  <si>
    <t>Döblingergasse 181, Stg. 4, Tür 1, 1090 Wien, Österreich</t>
  </si>
  <si>
    <t>Mozartring 136, Stg. 5, Tür 23, 1020 Wien, Österreich</t>
  </si>
  <si>
    <t>Ringweg 26, 3500 Krems an der Donau, Österreich</t>
  </si>
  <si>
    <t>Mühlring 50, 5020 Salzburg, Österreich</t>
  </si>
  <si>
    <t>Seestadtstraße 18A, Stg. 4, Tür 23, 3300 Amstetten, Österreich</t>
  </si>
  <si>
    <t>HauptWaldweg 159E, 5020 Salzburg, Österreich</t>
  </si>
  <si>
    <t>Wiesenring 23, 1050 Wien, Österreich</t>
  </si>
  <si>
    <t>Rathauskai 29, 1090 Wien, Österreich</t>
  </si>
  <si>
    <t>Donauweg 178, 8010 Graz, Österreich</t>
  </si>
  <si>
    <t>Bahnhofweg 98, 1020 Wien, Österreich</t>
  </si>
  <si>
    <t>Mariahilferstraße 52, 1060 Wien, Österreich</t>
  </si>
  <si>
    <t>Döblingerkai 158, 2700 Wiener Neustadt, Österreich</t>
  </si>
  <si>
    <t>Bahnhofstraße 65, 1010 Wien, Österreich</t>
  </si>
  <si>
    <t>Bergstraße 69C, 2380 Perchtoldsdorf, Österreich</t>
  </si>
  <si>
    <t>Augartenplatz 187, Stg. 2, Tür 1, 9020 Klagenfurt am Wörthersee, Österreich</t>
  </si>
  <si>
    <t>Praterstraße 92, 1100 Wien, Österreich</t>
  </si>
  <si>
    <t>Kirchenweg 88D, 8010 Graz, Österreich</t>
  </si>
  <si>
    <t>AhornMozartallee 170, 6020 Innsbruck, Österreich</t>
  </si>
  <si>
    <t>PromenadeMariahilferplatz 189, Stg. 6, Tür 38, 1020 Wien, Österreich</t>
  </si>
  <si>
    <t>Mozartstraße 165, 3430 Tulln, Österreich</t>
  </si>
  <si>
    <t>Flussweg 104F, 5020 Salzburg, Österreich</t>
  </si>
  <si>
    <t>Feldring 19B, 3100 St. Pölten, Österreich</t>
  </si>
  <si>
    <t>Flussgasse 34F, 1020 Wien, Österreich</t>
  </si>
  <si>
    <t>Kreuzgasse 17, Stg. 5, Tür 40, 1040 Wien, Österreich</t>
  </si>
  <si>
    <t>Lindenplatz 189, Stg. 6, Tür 37, 2000 Stockerau, Österreich</t>
  </si>
  <si>
    <t>Parkkai 55, Stg. 1, Tür 8, 3500 Krems an der Donau, Österreich</t>
  </si>
  <si>
    <t>Haydngasse 142B, Stg. 1, Tür 40, 3500 Krems an der Donau, Österreich</t>
  </si>
  <si>
    <t>Rosenstraße 21B, 1030 Wien, Österreich</t>
  </si>
  <si>
    <t>Haydnring 122, Stg. 3, Tür 34, 1070 Wien, Österreich</t>
  </si>
  <si>
    <t>Mühlgasse 10, 6020 Innsbruck, Österreich</t>
  </si>
  <si>
    <t>Marktweg 143, 1040 Wien, Österreich</t>
  </si>
  <si>
    <t>Industriekai 139, 2700 Wiener Neustadt, Österreich</t>
  </si>
  <si>
    <t>RingFeldstraße 176, 3100 St. Pölten, Österreich</t>
  </si>
  <si>
    <t>Flussstraße 73, 1090 Wien, Österreich</t>
  </si>
  <si>
    <t>Flussstraße 138A, 3100 St. Pölten, Österreich</t>
  </si>
  <si>
    <t>Mariahilferallee 108, 5020 Salzburg, Österreich</t>
  </si>
  <si>
    <t>WiesenMühlweg 189, 1070 Wien, Österreich</t>
  </si>
  <si>
    <t>Praterallee 112E, Stg. 3, Tür 9, 2700 Wiener Neustadt, Österreich</t>
  </si>
  <si>
    <t>Lindenring 70, Stg. 5, Tür 4, 1050 Wien, Österreich</t>
  </si>
  <si>
    <t>Wiesenkai 108C, 1080 Wien, Österreich</t>
  </si>
  <si>
    <t>Kreuzgasse 142, 1030 Wien, Österreich</t>
  </si>
  <si>
    <t>Birkenallee 119, 6900 Bregenz, Österreich</t>
  </si>
  <si>
    <t>Parkplatz 152, 3500 Krems an der Donau, Österreich</t>
  </si>
  <si>
    <t>Flussplatz 130E, 2380 Perchtoldsdorf, Österreich</t>
  </si>
  <si>
    <t>MariahilferSeestadtplatz 4, 2500 Baden, Österreich</t>
  </si>
  <si>
    <t>Hauptgasse 24F, Stg. 4, Tür 37, 1100 Wien, Österreich</t>
  </si>
  <si>
    <t>Waldplatz 36, Stg. 3, Tür 30, 2380 Perchtoldsdorf, Österreich</t>
  </si>
  <si>
    <t>Bergkai 99, 2000 Stockerau, Österreich</t>
  </si>
  <si>
    <t>Ringring 139, 1070 Wien, Österreich</t>
  </si>
  <si>
    <t>Alleering 132, 5020 Salzburg, Österreich</t>
  </si>
  <si>
    <t>Mozartweg 11, 1060 Wien, Österreich</t>
  </si>
  <si>
    <t>Seestadtring 36, 1080 Wien, Österreich</t>
  </si>
  <si>
    <t>Opernkai 54, 8010 Graz, Österreich</t>
  </si>
  <si>
    <t>Kärntnerring 14C, 2700 Wiener Neustadt, Österreich</t>
  </si>
  <si>
    <t>Praterring 137, 2700 Wiener Neustadt, Österreich</t>
  </si>
  <si>
    <t>Bahnhofgasse 118D, 1060 Wien, Österreich</t>
  </si>
  <si>
    <t>RosenFeldweg 128B, 3300 Amstetten, Österreich</t>
  </si>
  <si>
    <t>Haydnring 34, 2500 Baden, Österreich</t>
  </si>
  <si>
    <t>HauptEichengasse 134, 2500 Baden, Österreich</t>
  </si>
  <si>
    <t>Parkplatz 179, 3430 Tulln, Österreich</t>
  </si>
  <si>
    <t>Sonnenkai 67, 2100 Korneuburg, Österreich</t>
  </si>
  <si>
    <t>Feldweg 43, 1060 Wien, Österreich</t>
  </si>
  <si>
    <t>Ahornkai 171, 1060 Wien, Österreich</t>
  </si>
  <si>
    <t>Rathausgasse 95, 3430 Tulln, Österreich</t>
  </si>
  <si>
    <t>Promenadegasse 139, 3430 Tulln, Österreich</t>
  </si>
  <si>
    <t>AugartenDonaukai 82F, 3430 Tulln, Österreich</t>
  </si>
  <si>
    <t>Hauptplatz 147, 9020 Klagenfurt am Wörthersee, Österreich</t>
  </si>
  <si>
    <t>Wiesenring 11E, 1040 Wien, Österreich</t>
  </si>
  <si>
    <t>Eichenplatz 84F, 1070 Wien, Österreich</t>
  </si>
  <si>
    <t>RingDöblingergasse 115, 1030 Wien, Österreich</t>
  </si>
  <si>
    <t>Augartenweg 131, 5020 Salzburg, Österreich</t>
  </si>
  <si>
    <t>Brucknerweg 4, 2100 Korneuburg, Österreich</t>
  </si>
  <si>
    <t>Kirchengasse 114, 2500 Baden, Österreich</t>
  </si>
  <si>
    <t>Brucknerring 36, Stg. 2, Tür 20, 4020 Linz, Österreich</t>
  </si>
  <si>
    <t>Alleestraße 152, Stg. 6, Tür 18, 1030 Wien, Österreich</t>
  </si>
  <si>
    <t>Seestadtplatz 36, 2380 Perchtoldsdorf, Österreich</t>
  </si>
  <si>
    <t>Marktkai 127, 2700 Wiener Neustadt, Österreich</t>
  </si>
  <si>
    <t>Seeweg 163, 4600 Wels, Österreich</t>
  </si>
  <si>
    <t>Ahornplatz 166, 1040 Wien, Österreich</t>
  </si>
  <si>
    <t>Universitätsring 124, 1090 Wien, Österreich</t>
  </si>
  <si>
    <t>Wiesenweg 148C, 1060 Wien, Österreich</t>
  </si>
  <si>
    <t>DonauRosenring 14, 2500 Baden, Österreich</t>
  </si>
  <si>
    <t>Hauptweg 20, 8010 Graz, Österreich</t>
  </si>
  <si>
    <t>UniversitätsParkkai 81, 5020 Salzburg, Österreich</t>
  </si>
  <si>
    <t>Industriestraße 91, Stg. 3, Tür 24, 1010 Wien, Österreich</t>
  </si>
  <si>
    <t>Haydnweg 42B, 3300 Amstetten, Österreich</t>
  </si>
  <si>
    <t>Kreuzring 135, 6020 Innsbruck, Österreich</t>
  </si>
  <si>
    <t>Haydnplatz 30, 1010 Wien, Österreich</t>
  </si>
  <si>
    <t>Industriegasse 153, Stg. 3, Tür 2, 2000 Stockerau, Österreich</t>
  </si>
  <si>
    <t>Eichengasse 37, Stg. 2, Tür 6, 1100 Wien, Österreich</t>
  </si>
  <si>
    <t>WiesenPraterstraße 111A, 1020 Wien, Österreich</t>
  </si>
  <si>
    <t>GartenSeeplatz 12F, 1010 Wien, Österreich</t>
  </si>
  <si>
    <t>Birkenallee 48, Stg. 6, Tür 18, 1010 Wien, Österreich</t>
  </si>
  <si>
    <t>Promenadegasse 187, 3300 Amstetten, Österreich</t>
  </si>
  <si>
    <t>BergLindenallee 73E, 1010 Wien, Österreich</t>
  </si>
  <si>
    <t>Kärntnerkai 94, 1060 Wien, Österreich</t>
  </si>
  <si>
    <t>Promenadeplatz 132, 1040 Wien, Österreich</t>
  </si>
  <si>
    <t>Donaustraße 127, 6020 Innsbruck, Österreich</t>
  </si>
  <si>
    <t>Kirchenweg 99, 4020 Linz, Österreich</t>
  </si>
  <si>
    <t>Eichenallee 110, 1030 Wien, Österreich</t>
  </si>
  <si>
    <t>IndustrieAugartengasse 173D, 3300 Amstetten, Österreich</t>
  </si>
  <si>
    <t>Feldplatz 152, 6900 Bregenz, Österreich</t>
  </si>
  <si>
    <t>Industriegasse 153, Stg. 4, Tür 32, 2380 Perchtoldsdorf, Österreich</t>
  </si>
  <si>
    <t>Opernallee 165, 2100 Korneuburg, Österreich</t>
  </si>
  <si>
    <t>Augartenallee 117C, 3100 St. Pölten, Österreich</t>
  </si>
  <si>
    <t>Waldstraße 18, 1010 Wien, Österreich</t>
  </si>
  <si>
    <t>Parkgasse 160A, 5020 Salzburg, Österreich</t>
  </si>
  <si>
    <t>Donaugasse 128, 1090 Wien, Österreich</t>
  </si>
  <si>
    <t>WaldBrucknerkai 31, 2000 Stockerau, Österreich</t>
  </si>
  <si>
    <t>FlussMarktstraße 181D, 1050 Wien, Österreich</t>
  </si>
  <si>
    <t>Wiesenallee 169, 3430 Tulln, Österreich</t>
  </si>
  <si>
    <t>RosenSeeallee 127, 2380 Perchtoldsdorf, Österreich</t>
  </si>
  <si>
    <t>HauptOpernweg 12C, 2100 Korneuburg, Österreich</t>
  </si>
  <si>
    <t>AlleePromenadeplatz 92, 1020 Wien, Österreich</t>
  </si>
  <si>
    <t>MarktBahnhofallee 79B, 1010 Wien, Österreich</t>
  </si>
  <si>
    <t>Brucknerallee 108, 6020 Innsbruck, Österreich</t>
  </si>
  <si>
    <t>Mozartallee 147D, 1040 Wien, Österreich</t>
  </si>
  <si>
    <t>Augartenallee 171, 4020 Linz, Österreich</t>
  </si>
  <si>
    <t>Augartenring 20, 3430 Tulln, Österreich</t>
  </si>
  <si>
    <t>Marktallee 58, 1030 Wien, Österreich</t>
  </si>
  <si>
    <t>Opernweg 146, 3100 St. Pölten, Österreich</t>
  </si>
  <si>
    <t>Marktallee 111, 2000 Stockerau, Österreich</t>
  </si>
  <si>
    <t>Kreuzallee 141, 1010 Wien, Österreich</t>
  </si>
  <si>
    <t>RathausDonauplatz 69, 3430 Tulln, Österreich</t>
  </si>
  <si>
    <t>Rathausring 134, Stg. 2, Tür 20, 2700 Wiener Neustadt, Österreich</t>
  </si>
  <si>
    <t>Parkkai 17, 2500 Baden, Österreich</t>
  </si>
  <si>
    <t>Rosenweg 61, Stg. 1, Tür 16, 1040 Wien, Österreich</t>
  </si>
  <si>
    <t>Augartenallee 109, 1020 Wien, Österreich</t>
  </si>
  <si>
    <t>Waldweg 72, 1060 Wien, Österreich</t>
  </si>
  <si>
    <t>AugartenKirchenkai 81, 1030 Wien, Österreich</t>
  </si>
  <si>
    <t>Kirchenplatz 186, Stg. 6, Tür 33, 1080 Wien, Österreich</t>
  </si>
  <si>
    <t>Opernkai 65, 1030 Wien, Österreich</t>
  </si>
  <si>
    <t>Parkweg 189, 6900 Bregenz, Österreich</t>
  </si>
  <si>
    <t>FeldRingstraße 113, Stg. 5, Tür 24, 3500 Krems an der Donau, Österreich</t>
  </si>
  <si>
    <t>Parkallee 175, 1090 Wien, Österreich</t>
  </si>
  <si>
    <t>Praterring 79E, 1020 Wien, Österreich</t>
  </si>
  <si>
    <t>Mühlweg 80, 6020 Innsbruck, Österreich</t>
  </si>
  <si>
    <t>DöblingerMariahilferkai 100D, 1090 Wien, Österreich</t>
  </si>
  <si>
    <t>Marktgasse 42, 4600 Wels, Österreich</t>
  </si>
  <si>
    <t>HaydnKirchenkai 126, 2500 Baden, Österreich</t>
  </si>
  <si>
    <t>BrucknerRosenkai 179, 1030 Wien, Österreich</t>
  </si>
  <si>
    <t>Seestadtring 178A, 4600 Wels, Österreich</t>
  </si>
  <si>
    <t>Sonnenstraße 161, Stg. 2, Tür 16, 3500 Krems an der Donau, Österreich</t>
  </si>
  <si>
    <t>Sonnenkai 106, 2000 Stockerau, Österreich</t>
  </si>
  <si>
    <t>Seegasse 84, Stg. 3, Tür 12, 1070 Wien, Österreich</t>
  </si>
  <si>
    <t>RathausWaldgasse 143, 4600 Wels, Österreich</t>
  </si>
  <si>
    <t>Lindenweg 44E, 2500 Baden, Österreich</t>
  </si>
  <si>
    <t>Industriegasse 31E, 2500 Baden, Österreich</t>
  </si>
  <si>
    <t>AugartenBirkenstraße 49, 9020 Klagenfurt am Wörthersee, Österreich</t>
  </si>
  <si>
    <t>Mozartgasse 53, 1100 Wien, Österreich</t>
  </si>
  <si>
    <t>Ahornplatz 8, 1090 Wien, Österreich</t>
  </si>
  <si>
    <t>Industrieallee 118D, 1050 Wien, Österreich</t>
  </si>
  <si>
    <t>Birkenring 109, Stg. 5, Tür 4, 1090 Wien, Österreich</t>
  </si>
  <si>
    <t>Mühlplatz 156, 9020 Klagenfurt am Wörthersee, Österreich</t>
  </si>
  <si>
    <t>Bergweg 98, 2380 Perchtoldsdorf, Österreich</t>
  </si>
  <si>
    <t>FlussRosenallee 129, 2000 Stockerau, Österreich</t>
  </si>
  <si>
    <t>Parkring 37, Stg. 2, Tür 32, 2000 Stockerau, Österreich</t>
  </si>
  <si>
    <t>Industrieplatz 68, 8010 Graz, Österreich</t>
  </si>
  <si>
    <t>Brucknergasse 126, 1050 Wien, Österreich</t>
  </si>
  <si>
    <t>MariahilferGartenstraße 59, 3100 St. Pölten, Österreich</t>
  </si>
  <si>
    <t>Brucknerstraße 127C, 6020 Innsbruck, Österreich</t>
  </si>
  <si>
    <t>Wiesenkai 38A, 1070 Wien, Österreich</t>
  </si>
  <si>
    <t>Kärntnerkai 170, 3500 Krems an der Donau, Österreich</t>
  </si>
  <si>
    <t>Rathausgasse 20, 3100 St. Pölten, Österreich</t>
  </si>
  <si>
    <t>Hauptring 32, 3500 Krems an der Donau, Österreich</t>
  </si>
  <si>
    <t>FeldPraterstraße 117, 1090 Wien, Österreich</t>
  </si>
  <si>
    <t>Flussring 116, 6900 Bregenz, Österreich</t>
  </si>
  <si>
    <t>BirkenHauptkai 83, Stg. 5, Tür 25, 6900 Bregenz, Österreich</t>
  </si>
  <si>
    <t>SeeSchubertgasse 23B, 1060 Wien, Österreich</t>
  </si>
  <si>
    <t>Feldstraße 111, 1100 Wien, Österreich</t>
  </si>
  <si>
    <t>PromenadeIndustriering 132, 2700 Wiener Neustadt, Österreich</t>
  </si>
  <si>
    <t>Rathausallee 109, Stg. 6, Tür 28, 4020 Linz, Österreich</t>
  </si>
  <si>
    <t>Kärntnerweg 174, 5020 Salzburg, Österreich</t>
  </si>
  <si>
    <t>Favoritenstraße 112D, Stg. 2, Tür 20, 1100 Wien, Österreich</t>
  </si>
  <si>
    <t>Brucknerweg 142A, Stg. 4, Tür 27, 3300 Amstetten, Österreich</t>
  </si>
  <si>
    <t>Rathauskai 66, 8010 Graz, Österreich</t>
  </si>
  <si>
    <t>Donaugasse 101D, 6020 Innsbruck, Österreich</t>
  </si>
  <si>
    <t>Donaukai 160, 2000 Stockerau, Österreich</t>
  </si>
  <si>
    <t>Ahornstraße 155, Stg. 5, Tür 2, 5020 Salzburg, Österreich</t>
  </si>
  <si>
    <t>WiesenPraterstraße 118, 5020 Salzburg, Österreich</t>
  </si>
  <si>
    <t>Augartenweg 158, 5020 Salzburg, Österreich</t>
  </si>
  <si>
    <t>MarktBergstraße 49A, 6020 Innsbruck, Österreich</t>
  </si>
  <si>
    <t>PraterMühlring 112, 9020 Klagenfurt am Wörthersee, Österreich</t>
  </si>
  <si>
    <t>Donaugasse 6B, 6900 Bregenz, Österreich</t>
  </si>
  <si>
    <t>Waldkai 63, 3500 Krems an der Donau, Österreich</t>
  </si>
  <si>
    <t>AlleeBrucknerstraße 107, 6900 Bregenz, Österreich</t>
  </si>
  <si>
    <t>Hauptstraße 125, 6900 Bregenz, Österreich</t>
  </si>
  <si>
    <t>EichenWaldring 109, Stg. 6, Tür 27, 3430 Tulln, Österreich</t>
  </si>
  <si>
    <t>Augartenallee 89, Stg. 3, Tür 13, 2500 Baden, Österreich</t>
  </si>
  <si>
    <t>Mariahilfergasse 151, 2000 Stockerau, Österreich</t>
  </si>
  <si>
    <t>Donaugasse 186, 2500 Baden, Österreich</t>
  </si>
  <si>
    <t>Industriekai 42, 1100 Wien, Österreich</t>
  </si>
  <si>
    <t>PraterRosengasse 156, 9020 Klagenfurt am Wörthersee, Österreich</t>
  </si>
  <si>
    <t>Mühlgasse 5, 1090 Wien, Österreich</t>
  </si>
  <si>
    <t>Kärntnerstraße 87, 4020 Linz, Österreich</t>
  </si>
  <si>
    <t>Augartenweg 91, 8010 Graz, Österreich</t>
  </si>
  <si>
    <t>Kärntnerallee 181D, 9020 Klagenfurt am Wörthersee, Österreich</t>
  </si>
  <si>
    <t>Schlosskai 27, 1020 Wien, Österreich</t>
  </si>
  <si>
    <t>WiesenIndustriekai 41, 6020 Innsbruck, Österreich</t>
  </si>
  <si>
    <t>Schlossgasse 86, 1040 Wien, Österreich</t>
  </si>
  <si>
    <t>Berggasse 122, Stg. 3, Tür 24, 3300 Amstetten, Österreich</t>
  </si>
  <si>
    <t>Haydnweg 63E, 2500 Baden, Österreich</t>
  </si>
  <si>
    <t>Haydnplatz 133, 2100 Korneuburg, Österreich</t>
  </si>
  <si>
    <t>Bergring 18C, 2380 Perchtoldsdorf, Österreich</t>
  </si>
  <si>
    <t>Gartenplatz 170, 1050 Wien, Österreich</t>
  </si>
  <si>
    <t>Favoritenweg 175, 1100 Wien, Österreich</t>
  </si>
  <si>
    <t>Bergkai 136, 1050 Wien, Österreich</t>
  </si>
  <si>
    <t>Birkenallee 159, 6020 Innsbruck, Österreich</t>
  </si>
  <si>
    <t>LindenDöblingerweg 86, 6900 Bregenz, Österreich</t>
  </si>
  <si>
    <t>DöblingerKärntnerweg 142, 2000 Stockerau, Österreich</t>
  </si>
  <si>
    <t>Waldkai 67, 8010 Graz, Österreich</t>
  </si>
  <si>
    <t>WiesenIndustriering 67, Stg. 6, Tür 8, 2100 Korneuburg, Österreich</t>
  </si>
  <si>
    <t>RathausAlleering 61, 3500 Krems an der Donau, Österreich</t>
  </si>
  <si>
    <t>Döblingerkai 90, 5020 Salzburg, Österreich</t>
  </si>
  <si>
    <t>Sonnenring 189, 2000 Stockerau, Österreich</t>
  </si>
  <si>
    <t>IndustrieBrucknerplatz 106A, 2500 Baden, Österreich</t>
  </si>
  <si>
    <t>Mariahilferstraße 135, 3430 Tulln, Österreich</t>
  </si>
  <si>
    <t>Opernplatz 113, 3100 St. Pölten, Österreich</t>
  </si>
  <si>
    <t>FeldDonauallee 34, 3300 Amstetten, Österreich</t>
  </si>
  <si>
    <t>Birkenplatz 41, 2100 Korneuburg, Österreich</t>
  </si>
  <si>
    <t>HaydnRathausstraße 75B, 1040 Wien, Österreich</t>
  </si>
  <si>
    <t>HauptFeldplatz 37, Stg. 3, Tür 19, 2500 Baden, Österreich</t>
  </si>
  <si>
    <t>AugartenPromenadestraße 18, 2500 Baden, Österreich</t>
  </si>
  <si>
    <t>Mariahilferweg 122, Stg. 2, Tür 33, 4020 Linz, Österreich</t>
  </si>
  <si>
    <t>Mariahilferring 187, 9020 Klagenfurt am Wörthersee, Österreich</t>
  </si>
  <si>
    <t>Mozartgasse 87, 5020 Salzburg, Österreich</t>
  </si>
  <si>
    <t>KirchenWaldkai 147, 8010 Graz, Österreich</t>
  </si>
  <si>
    <t>Wiesenring 50, 3430 Tulln, Österreich</t>
  </si>
  <si>
    <t>Favoritengasse 129, 1040 Wien, Österreich</t>
  </si>
  <si>
    <t>Waldweg 63, 3500 Krems an der Donau, Österreich</t>
  </si>
  <si>
    <t>Parkplatz 126, 1010 Wien, Österreich</t>
  </si>
  <si>
    <t>Waldkai 98, 1040 Wien, Österreich</t>
  </si>
  <si>
    <t>HauptKirchengasse 40, 2500 Baden, Österreich</t>
  </si>
  <si>
    <t>ParkGartengasse 77, Stg. 3, Tür 17, 2000 Stockerau, Österreich</t>
  </si>
  <si>
    <t>GartenUniversitätsgasse 151, 3300 Amstetten, Österreich</t>
  </si>
  <si>
    <t>Ringstraße 142, Stg. 6, Tür 15, 3100 St. Pölten, Österreich</t>
  </si>
  <si>
    <t>Seestadtallee 64, 4600 Wels, Österreich</t>
  </si>
  <si>
    <t>HaydnKärntnerplatz 53, 1050 Wien, Österreich</t>
  </si>
  <si>
    <t>Döblingerplatz 143, 1010 Wien, Österreich</t>
  </si>
  <si>
    <t>RosenPraterstraße 70, 5020 Salzburg, Österreich</t>
  </si>
  <si>
    <t>Birkenallee 73F, 3430 Tulln, Österreich</t>
  </si>
  <si>
    <t>SchubertSonnenring 186, 1090 Wien, Österreich</t>
  </si>
  <si>
    <t>Kärntnerkai 175, 4600 Wels, Österreich</t>
  </si>
  <si>
    <t>MariahilferParkweg 88, 4020 Linz, Österreich</t>
  </si>
  <si>
    <t>Bergallee 3, 2500 Baden, Österreich</t>
  </si>
  <si>
    <t>Augartenkai 21, 4600 Wels, Österreich</t>
  </si>
  <si>
    <t>MariahilferMozartring 154, 1060 Wien, Österreich</t>
  </si>
  <si>
    <t>Wiesenplatz 50, 1080 Wien, Österreich</t>
  </si>
  <si>
    <t>PromenadeKreuzgasse 161, 6020 Innsbruck, Österreich</t>
  </si>
  <si>
    <t>Flussweg 181, Stg. 6, Tür 26, 1070 Wien, Österreich</t>
  </si>
  <si>
    <t>Rathausallee 142, 6900 Bregenz, Österreich</t>
  </si>
  <si>
    <t>RathausSonnengasse 17E, 1080 Wien, Österreich</t>
  </si>
  <si>
    <t>Lindenkai 178, 4020 Linz, Österreich</t>
  </si>
  <si>
    <t>Bergplatz 167C, 2500 Baden, Österreich</t>
  </si>
  <si>
    <t>Wiesenring 127, Stg. 6, Tür 15, 8010 Graz, Österreich</t>
  </si>
  <si>
    <t>Haydnallee 2, Stg. 5, Tür 2, 2000 Stockerau, Österreich</t>
  </si>
  <si>
    <t>Brucknerstraße 51C, 1030 Wien, Österreich</t>
  </si>
  <si>
    <t>Praterplatz 152, 2000 Stockerau, Österreich</t>
  </si>
  <si>
    <t>Pratergasse 14, 3300 Amstetten, Österreich</t>
  </si>
  <si>
    <t>Universitätsallee 25, Stg. 1, Tür 3, 3500 Krems an der Donau, Österreich</t>
  </si>
  <si>
    <t>BahnhofMariahilferkai 15, 4600 Wels, Österreich</t>
  </si>
  <si>
    <t>GartenMozartallee 103D, 1080 Wien, Österreich</t>
  </si>
  <si>
    <t>Bergplatz 110, Stg. 6, Tür 2, 4020 Linz, Österreich</t>
  </si>
  <si>
    <t>AlleeSchlossallee 4, 1030 Wien, Österreich</t>
  </si>
  <si>
    <t>Sonnenring 91, 6900 Bregenz, Österreich</t>
  </si>
  <si>
    <t>Sonnenkai 80, 3300 Amstetten, Österreich</t>
  </si>
  <si>
    <t>Marktallee 38C, 4020 Linz, Österreich</t>
  </si>
  <si>
    <t>Favoritenallee 38E, 3430 Tulln, Österreich</t>
  </si>
  <si>
    <t>Lindengasse 52, Stg. 4, Tür 30, 2000 Stockerau, Österreich</t>
  </si>
  <si>
    <t>Alleekai 86, 2500 Baden, Österreich</t>
  </si>
  <si>
    <t>FlussBergplatz 164, 1080 Wien, Österreich</t>
  </si>
  <si>
    <t>Praterring 85, 2380 Perchtoldsdorf, Österreich</t>
  </si>
  <si>
    <t>IndustrieWaldstraße 143C, Stg. 5, Tür 24, 2700 Wiener Neustadt, Österreich</t>
  </si>
  <si>
    <t>Lindengasse 57, Stg. 5, Tür 16, 6900 Bregenz, Österreich</t>
  </si>
  <si>
    <t>Waldgasse 26F, 1050 Wien, Österreich</t>
  </si>
  <si>
    <t>Birkenweg 95, Stg. 5, Tür 40, 5020 Salzburg, Österreich</t>
  </si>
  <si>
    <t>BahnhofSonnenstraße 49, 2380 Perchtoldsdorf, Österreich</t>
  </si>
  <si>
    <t>BrucknerFlussring 158, 3430 Tulln, Österreich</t>
  </si>
  <si>
    <t>Mühlstraße 72, 3300 Amstetten, Österreich</t>
  </si>
  <si>
    <t>Kirchenkai 170, 1060 Wien, Österreich</t>
  </si>
  <si>
    <t>Kärntnerweg 119F, 2100 Korneuburg, Österreich</t>
  </si>
  <si>
    <t>Augartenplatz 103, 9020 Klagenfurt am Wörthersee, Österreich</t>
  </si>
  <si>
    <t>Eichengasse 61, 1100 Wien, Österreich</t>
  </si>
  <si>
    <t>Rosenkai 141A, 1100 Wien, Österreich</t>
  </si>
  <si>
    <t>Opernstraße 160, 2700 Wiener Neustadt, Österreich</t>
  </si>
  <si>
    <t>Augartenweg 7B, 1090 Wien, Österreich</t>
  </si>
  <si>
    <t>Hauptkai 140, 9020 Klagenfurt am Wörthersee, Österreich</t>
  </si>
  <si>
    <t>Wiesenstraße 140, 1070 Wien, Österreich</t>
  </si>
  <si>
    <t>Surname</t>
  </si>
  <si>
    <t>Familiyname</t>
  </si>
  <si>
    <t>Address</t>
  </si>
  <si>
    <t>A simple random sample (n=150) is to be drawn from the population statistics of the city of Kickritspotschn (N=1.000).</t>
  </si>
  <si>
    <t>→ Determination of 150 random numbers
between 1 and 1,000
(= ID numbers of the persons to be selected)</t>
  </si>
  <si>
    <t xml:space="preserve"># Variant 1: </t>
  </si>
  <si>
    <t>Excel - random range, random number</t>
  </si>
  <si>
    <t>(may contain duplicate values)</t>
  </si>
  <si>
    <t># Option 2: Random number generator</t>
  </si>
  <si>
    <t xml:space="preserve"> (Numbers-Integer Sets, without duplicate values)</t>
  </si>
  <si>
    <t>Variant 1</t>
  </si>
  <si>
    <t>Variant 2</t>
  </si>
  <si>
    <t>Question</t>
  </si>
  <si>
    <t>Answer</t>
  </si>
  <si>
    <t>initial data</t>
  </si>
  <si>
    <t>Sample size n:</t>
  </si>
  <si>
    <t>sex</t>
  </si>
  <si>
    <t>male</t>
  </si>
  <si>
    <t>female</t>
  </si>
  <si>
    <t>&lt; 15 years</t>
  </si>
  <si>
    <t>65+ years</t>
  </si>
  <si>
    <t>15 - 64 years</t>
  </si>
  <si>
    <t>Draw a proportionally stratified sample (n=200) from the following data set on the population of Lower Austria (2021). How many people of which age &amp; gender groups do you need to survey?</t>
  </si>
  <si>
    <t>Sample Structure</t>
  </si>
  <si>
    <t>initial data for Lower Austria (2021)</t>
  </si>
  <si>
    <t>Draw a proportionally stratified sample (n=250) from the following data set on the population of Tyrol (2001). How many Tyroleans of which age groups do you need to survey?</t>
  </si>
  <si>
    <t>Census Time Series – Persons (Q)</t>
  </si>
  <si>
    <t>Sex by Year and Age in years (Level +4) by Place of usual residence – Territorial structure of 2021 (Level +2)</t>
  </si>
  <si>
    <t>Counting: Persons</t>
  </si>
  <si>
    <t>Filters:</t>
  </si>
  <si>
    <t>Default Summation</t>
  </si>
  <si>
    <t>Persons</t>
  </si>
  <si>
    <t>Place of usual residence – Territorial structure of 2021 (Level +2)</t>
  </si>
  <si>
    <t>Lower Austria</t>
  </si>
  <si>
    <t>Year</t>
  </si>
  <si>
    <t>2021</t>
  </si>
  <si>
    <t>Age in years (Level +4)</t>
  </si>
  <si>
    <t>Under 15 years</t>
  </si>
  <si>
    <t>15 to 64 years</t>
  </si>
  <si>
    <t>65 years and over</t>
  </si>
  <si>
    <t>Sex</t>
  </si>
  <si>
    <t>Male</t>
  </si>
  <si>
    <t>Female</t>
  </si>
  <si>
    <t>Symbol</t>
  </si>
  <si>
    <t>Description</t>
  </si>
  <si>
    <t>Q</t>
  </si>
  <si>
    <t>STATcube – Statistical Database of STATISTICS AUSTRIA</t>
  </si>
  <si>
    <t>Census Time Series – Persons</t>
  </si>
  <si>
    <t>The Register-based Censuses 2011 and 2021 are complete surveys on characteristics of the Austrian resident population as per 31/10 and are conducted by using information from administrative registers. The characteristics and definitions are based on the EU regulation on population and housing censuses. The 1991 and 2001 Population Censuses are complete enumerations of the total population by using questionnaires for the reference dates 15/05/1991 and 15/05/2001, respectively. The concept of the censuses is based on the National Population Census Act of 1980 as well as the Census Recommendations of the Conference of European Statisticians. The 2001 Census is also based on the EU-guidelines for the Community programme of population and housing censuses. For the time series database the attributes of the 1991 and 2001 Population Censuses were recoded into the classifications of the Register-based Censuses. A description of the comparability of the censuses is given in the notes of the respective attributes. For further information see: https://www.statistik.at/en/statistics/population-and-society/population/population-stock/historic-censuses https://www.statistik.at/fileadmin/shared/QM/Standarddokumentationen/B_1/std_b_abgestimmte_erwerbsstatistik.pdf (German only) .) Territorial structure of 2021. .) Updating: addition of further years planned last update: [2025-03-20] .) Contact details: Directorate Social Statistics For general enquiries: +43 1 711 28-7070 In case of special enquiries please contact registerzaehlung@statistik.gv.at .) Please note: For data privacy protection reasons, the statistical disclosure control method of "Record Swapping" has been used on a part of the data. For analyses based on very small cell values, no reliable assertions can be made. .) ABO: Data at municipality level is available for subscription users (ABO). https://www.statistik.at/en/databases/statcube/statcube-statistical-database/subscription .) Open Data The portal data.statistik.gv.at offers a range of data sets from the dictionary of official Austrian statistical data. https://data.statistik.gv.at/web/</t>
  </si>
  <si>
    <t>In order to guarantee protection of data privacy, persons with a third sex category are not separately reported. They are imputed either as "male" or "female".</t>
  </si>
  <si>
    <t>Age in years</t>
  </si>
  <si>
    <t>Age in completed years at the reference day. Calculated from the date of birth.</t>
  </si>
  <si>
    <t>Place of usual residence – Territorial structure of 2021 [partly ABO]</t>
  </si>
  <si>
    <t>Refers to the place of residence at the respective reference date according to the Austrian administrative territorial structure valid in 2021. Other Metadata: https://www.statistik.at/services/tools/services/regionales/regionale-gliederungen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</si>
</sst>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sz val="12"/>
      <color theme="1"/>
      <name val="Calibri"/>
      <family val="2"/>
      <scheme val="minor"/>
    </font>
    <font>
      <b/>
      <sz val="11"/>
      <color theme="1"/>
      <name val="Calibri"/>
      <family val="2"/>
      <scheme val="minor"/>
    </font>
    <font>
      <sz val="11"/>
      <color theme="0"/>
      <name val="Calibri"/>
      <family val="2"/>
      <scheme val="minor"/>
    </font>
    <font>
      <b/>
      <sz val="16"/>
      <color theme="0"/>
      <name val="Calibri"/>
      <family val="2"/>
      <scheme val="minor"/>
    </font>
    <font>
      <sz val="10"/>
      <color theme="1"/>
      <name val="Arial Unicode MS"/>
      <family val="2"/>
    </font>
    <font>
      <u/>
      <sz val="11"/>
      <color theme="10"/>
      <name val="Calibri"/>
      <family val="2"/>
      <scheme val="minor"/>
    </font>
    <font>
      <b/>
      <sz val="14"/>
      <color theme="1"/>
      <name val="Calibri"/>
      <family val="2"/>
      <scheme val="minor"/>
    </font>
    <font>
      <b/>
      <sz val="11"/>
      <color theme="0"/>
      <name val="Calibri"/>
      <family val="2"/>
      <scheme val="minor"/>
    </font>
    <font>
      <sz val="11"/>
      <color rgb="FF9C0006"/>
      <name val="Calibri"/>
      <family val="2"/>
    </font>
    <font>
      <b/>
      <sz val="14"/>
      <color rgb="FF9C0006"/>
      <name val="Calibri"/>
      <family val="2"/>
    </font>
    <font>
      <sz val="10"/>
      <name val="Arial"/>
      <family val="2"/>
    </font>
    <font>
      <sz val="10"/>
      <name val="Arial"/>
    </font>
    <font>
      <b/>
      <sz val="14"/>
      <name val="Arial"/>
      <family val="2"/>
    </font>
    <font>
      <b/>
      <sz val="10"/>
      <name val="Arial"/>
      <family val="2"/>
    </font>
    <font>
      <sz val="9"/>
      <name val="Arial"/>
      <family val="2"/>
    </font>
  </fonts>
  <fills count="15">
    <fill>
      <patternFill patternType="none"/>
    </fill>
    <fill>
      <patternFill patternType="gray125"/>
    </fill>
    <fill>
      <patternFill patternType="solid">
        <fgColor theme="0" tint="-0.34998626667073579"/>
        <bgColor indexed="64"/>
      </patternFill>
    </fill>
    <fill>
      <patternFill patternType="solid">
        <fgColor theme="4"/>
      </patternFill>
    </fill>
    <fill>
      <patternFill patternType="solid">
        <fgColor rgb="FF92D050"/>
        <bgColor indexed="64"/>
      </patternFill>
    </fill>
    <fill>
      <patternFill patternType="solid">
        <fgColor theme="0" tint="-0.14999847407452621"/>
        <bgColor theme="0" tint="-0.14999847407452621"/>
      </patternFill>
    </fill>
    <fill>
      <patternFill patternType="solid">
        <fgColor theme="1"/>
        <bgColor theme="1"/>
      </patternFill>
    </fill>
    <fill>
      <patternFill patternType="solid">
        <fgColor theme="0" tint="-0.14999847407452621"/>
        <bgColor indexed="64"/>
      </patternFill>
    </fill>
    <fill>
      <patternFill patternType="solid">
        <fgColor rgb="FFFFC7CE"/>
      </patternFill>
    </fill>
    <fill>
      <patternFill patternType="solid">
        <fgColor indexed="44"/>
        <bgColor indexed="64"/>
      </patternFill>
    </fill>
    <fill>
      <patternFill patternType="solid">
        <fgColor indexed="43"/>
        <bgColor indexed="64"/>
      </patternFill>
    </fill>
    <fill>
      <patternFill patternType="solid">
        <fgColor theme="0"/>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0" tint="-4.9989318521683403E-2"/>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1"/>
      </left>
      <right style="thin">
        <color theme="1"/>
      </right>
      <top style="medium">
        <color theme="1"/>
      </top>
      <bottom style="medium">
        <color theme="1"/>
      </bottom>
      <diagonal/>
    </border>
    <border>
      <left style="thin">
        <color theme="1"/>
      </left>
      <right/>
      <top style="medium">
        <color theme="1"/>
      </top>
      <bottom/>
      <diagonal/>
    </border>
    <border>
      <left style="thin">
        <color theme="1"/>
      </left>
      <right style="thin">
        <color theme="1"/>
      </right>
      <top style="medium">
        <color theme="1"/>
      </top>
      <bottom/>
      <diagonal/>
    </border>
    <border>
      <left style="thin">
        <color theme="1"/>
      </left>
      <right/>
      <top style="medium">
        <color theme="1"/>
      </top>
      <bottom style="medium">
        <color theme="1"/>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thin">
        <color indexed="64"/>
      </left>
      <right style="thin">
        <color indexed="64"/>
      </right>
      <top/>
      <bottom/>
      <diagonal/>
    </border>
    <border>
      <left style="medium">
        <color rgb="FFFFFFFF"/>
      </left>
      <right style="medium">
        <color rgb="FFFFFFFF"/>
      </right>
      <top style="medium">
        <color rgb="FFFFFFFF"/>
      </top>
      <bottom/>
      <diagonal/>
    </border>
    <border>
      <left style="thin">
        <color rgb="FFF1F1F1"/>
      </left>
      <right/>
      <top/>
      <bottom/>
      <diagonal/>
    </border>
  </borders>
  <cellStyleXfs count="8">
    <xf numFmtId="0" fontId="0" fillId="0" borderId="0"/>
    <xf numFmtId="0" fontId="3" fillId="3" borderId="0" applyNumberFormat="0" applyBorder="0" applyAlignment="0" applyProtection="0"/>
    <xf numFmtId="0" fontId="6" fillId="0" borderId="0" applyNumberFormat="0" applyFill="0" applyBorder="0" applyAlignment="0" applyProtection="0"/>
    <xf numFmtId="0" fontId="9" fillId="8" borderId="0" applyNumberFormat="0" applyBorder="0" applyAlignment="0" applyProtection="0"/>
    <xf numFmtId="0" fontId="11" fillId="9" borderId="23">
      <alignment horizontal="center" vertical="center"/>
      <protection locked="0"/>
    </xf>
    <xf numFmtId="0" fontId="11" fillId="10" borderId="0">
      <protection locked="0"/>
    </xf>
    <xf numFmtId="0" fontId="12" fillId="0" borderId="0">
      <protection locked="0"/>
    </xf>
    <xf numFmtId="0" fontId="13" fillId="0" borderId="0">
      <protection locked="0"/>
    </xf>
  </cellStyleXfs>
  <cellXfs count="75">
    <xf numFmtId="0" fontId="0" fillId="0" borderId="0" xfId="0"/>
    <xf numFmtId="0" fontId="0" fillId="0" borderId="0" xfId="0" applyAlignment="1">
      <alignment horizontal="center"/>
    </xf>
    <xf numFmtId="0" fontId="1" fillId="0" borderId="0" xfId="0" applyFont="1" applyAlignment="1">
      <alignment horizontal="left" vertical="center" wrapText="1"/>
    </xf>
    <xf numFmtId="0" fontId="0" fillId="2" borderId="0" xfId="0" applyFill="1"/>
    <xf numFmtId="0" fontId="0" fillId="0" borderId="0" xfId="0" applyAlignment="1">
      <alignment vertical="center"/>
    </xf>
    <xf numFmtId="0" fontId="0" fillId="0" borderId="0" xfId="0" applyAlignment="1">
      <alignment vertical="center" wrapText="1"/>
    </xf>
    <xf numFmtId="0" fontId="4" fillId="3" borderId="0" xfId="1" applyFont="1" applyAlignment="1">
      <alignment horizontal="center" vertical="center" wrapText="1"/>
    </xf>
    <xf numFmtId="0" fontId="0" fillId="0" borderId="0" xfId="0" applyAlignment="1">
      <alignment horizontal="right" vertical="center" wrapText="1"/>
    </xf>
    <xf numFmtId="0" fontId="0" fillId="0" borderId="0" xfId="0" applyAlignment="1">
      <alignment horizontal="center" vertical="center"/>
    </xf>
    <xf numFmtId="0" fontId="0" fillId="0" borderId="0" xfId="0" applyAlignment="1">
      <alignment horizontal="right" vertical="center"/>
    </xf>
    <xf numFmtId="0" fontId="5" fillId="0" borderId="0" xfId="0" applyFont="1" applyAlignment="1">
      <alignment horizontal="center" vertical="center"/>
    </xf>
    <xf numFmtId="0" fontId="0" fillId="0" borderId="1" xfId="0" applyBorder="1"/>
    <xf numFmtId="3" fontId="0" fillId="0" borderId="0" xfId="0" applyNumberFormat="1"/>
    <xf numFmtId="0" fontId="0" fillId="0" borderId="0" xfId="0" applyAlignment="1">
      <alignment horizontal="left" vertical="center"/>
    </xf>
    <xf numFmtId="0" fontId="0" fillId="0" borderId="0" xfId="0" applyAlignment="1">
      <alignment horizontal="right"/>
    </xf>
    <xf numFmtId="3" fontId="0" fillId="0" borderId="0" xfId="0" applyNumberFormat="1" applyAlignment="1">
      <alignment horizontal="center" vertical="center"/>
    </xf>
    <xf numFmtId="0" fontId="7" fillId="0" borderId="0" xfId="0" applyFont="1" applyAlignment="1">
      <alignment horizontal="left" vertical="center"/>
    </xf>
    <xf numFmtId="0" fontId="2" fillId="7" borderId="1" xfId="0" applyFont="1" applyFill="1" applyBorder="1"/>
    <xf numFmtId="0" fontId="6" fillId="0" borderId="0" xfId="2" applyAlignment="1">
      <alignment horizontal="left" vertical="center"/>
    </xf>
    <xf numFmtId="0" fontId="2" fillId="0" borderId="0" xfId="0" applyFont="1" applyAlignment="1">
      <alignment vertical="center"/>
    </xf>
    <xf numFmtId="0" fontId="2" fillId="0" borderId="0" xfId="0" applyFont="1" applyAlignment="1">
      <alignment vertical="center" wrapText="1"/>
    </xf>
    <xf numFmtId="0" fontId="8" fillId="6" borderId="4" xfId="0" applyFont="1" applyFill="1" applyBorder="1"/>
    <xf numFmtId="0" fontId="8" fillId="6" borderId="5" xfId="0" applyFont="1" applyFill="1" applyBorder="1"/>
    <xf numFmtId="0" fontId="0" fillId="5" borderId="6" xfId="0" applyFill="1" applyBorder="1"/>
    <xf numFmtId="3" fontId="0" fillId="5" borderId="6" xfId="0" applyNumberFormat="1" applyFill="1" applyBorder="1" applyAlignment="1">
      <alignment horizontal="center" vertical="center"/>
    </xf>
    <xf numFmtId="3" fontId="0" fillId="5" borderId="3" xfId="0" applyNumberFormat="1" applyFill="1" applyBorder="1" applyAlignment="1">
      <alignment horizontal="center" vertical="center"/>
    </xf>
    <xf numFmtId="0" fontId="8" fillId="6" borderId="4" xfId="0" applyFont="1" applyFill="1" applyBorder="1" applyAlignment="1">
      <alignment horizontal="center"/>
    </xf>
    <xf numFmtId="3" fontId="0" fillId="5" borderId="6" xfId="0" applyNumberFormat="1" applyFill="1" applyBorder="1" applyAlignment="1">
      <alignment horizontal="center"/>
    </xf>
    <xf numFmtId="0" fontId="0" fillId="0" borderId="1" xfId="0" applyBorder="1" applyAlignment="1">
      <alignment horizontal="center" vertical="center"/>
    </xf>
    <xf numFmtId="0" fontId="0" fillId="0" borderId="7" xfId="0" applyBorder="1" applyAlignment="1">
      <alignment horizontal="center" vertical="center"/>
    </xf>
    <xf numFmtId="0" fontId="4" fillId="4" borderId="0" xfId="1" applyFont="1" applyFill="1" applyAlignment="1">
      <alignment horizontal="center" vertical="center" wrapText="1"/>
    </xf>
    <xf numFmtId="0" fontId="0" fillId="0" borderId="2" xfId="0" applyBorder="1" applyAlignment="1">
      <alignment horizontal="center" vertical="center"/>
    </xf>
    <xf numFmtId="0" fontId="0" fillId="0" borderId="8" xfId="0" applyBorder="1" applyAlignment="1">
      <alignment horizontal="center"/>
    </xf>
    <xf numFmtId="0" fontId="0" fillId="0" borderId="9" xfId="0" applyBorder="1" applyAlignment="1">
      <alignment horizontal="center" vertical="center"/>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8" xfId="0" applyBorder="1" applyAlignment="1">
      <alignment horizontal="center" vertical="center"/>
    </xf>
    <xf numFmtId="0" fontId="0" fillId="0" borderId="12" xfId="0" applyBorder="1" applyAlignment="1">
      <alignment horizontal="center" vertical="center"/>
    </xf>
    <xf numFmtId="0" fontId="0" fillId="0" borderId="15" xfId="0" applyBorder="1" applyAlignment="1">
      <alignment horizontal="center" vertical="center"/>
    </xf>
    <xf numFmtId="0" fontId="0" fillId="0" borderId="10" xfId="0" applyBorder="1" applyAlignment="1">
      <alignment horizontal="center" vertical="center"/>
    </xf>
    <xf numFmtId="0" fontId="2" fillId="7" borderId="16" xfId="0" applyFont="1" applyFill="1" applyBorder="1" applyAlignment="1">
      <alignment horizontal="center"/>
    </xf>
    <xf numFmtId="0" fontId="2" fillId="7" borderId="17" xfId="0" applyFont="1" applyFill="1" applyBorder="1" applyAlignment="1">
      <alignment horizontal="center" vertical="center"/>
    </xf>
    <xf numFmtId="0" fontId="2" fillId="7" borderId="18" xfId="0" applyFont="1" applyFill="1" applyBorder="1" applyAlignment="1">
      <alignment horizontal="center" vertical="center"/>
    </xf>
    <xf numFmtId="0" fontId="2" fillId="7" borderId="16" xfId="0" applyFont="1" applyFill="1" applyBorder="1" applyAlignment="1">
      <alignment horizontal="center" vertical="center"/>
    </xf>
    <xf numFmtId="0" fontId="4" fillId="4" borderId="0" xfId="1" applyFont="1" applyFill="1" applyAlignment="1">
      <alignment horizontal="center" wrapText="1"/>
    </xf>
    <xf numFmtId="0" fontId="0" fillId="0" borderId="1" xfId="0" applyBorder="1" applyAlignment="1">
      <alignment horizontal="center"/>
    </xf>
    <xf numFmtId="0" fontId="2" fillId="7" borderId="1" xfId="0" applyFont="1" applyFill="1" applyBorder="1" applyAlignment="1">
      <alignment horizontal="center"/>
    </xf>
    <xf numFmtId="0" fontId="2" fillId="7" borderId="19" xfId="0" applyFont="1" applyFill="1"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3" fontId="0" fillId="0" borderId="6" xfId="0" applyNumberFormat="1" applyBorder="1" applyAlignment="1">
      <alignment horizontal="center" vertical="center"/>
    </xf>
    <xf numFmtId="0" fontId="8" fillId="6" borderId="4" xfId="0" applyFont="1" applyFill="1" applyBorder="1" applyAlignment="1">
      <alignment horizontal="center" vertical="center"/>
    </xf>
    <xf numFmtId="1" fontId="0" fillId="5" borderId="6" xfId="0" applyNumberFormat="1" applyFill="1" applyBorder="1" applyAlignment="1">
      <alignment horizontal="center" vertical="center"/>
    </xf>
    <xf numFmtId="0" fontId="12" fillId="0" borderId="0" xfId="6">
      <protection locked="0"/>
    </xf>
    <xf numFmtId="0" fontId="13" fillId="11" borderId="24" xfId="7" applyFill="1" applyBorder="1">
      <protection locked="0"/>
    </xf>
    <xf numFmtId="0" fontId="11" fillId="0" borderId="0" xfId="6" applyFont="1">
      <protection locked="0"/>
    </xf>
    <xf numFmtId="0" fontId="14" fillId="12" borderId="1" xfId="4" applyFont="1" applyFill="1" applyBorder="1" applyAlignment="1">
      <alignment vertical="center" wrapText="1"/>
      <protection locked="0"/>
    </xf>
    <xf numFmtId="0" fontId="11" fillId="13" borderId="1" xfId="4" applyFill="1" applyBorder="1" applyAlignment="1">
      <alignment horizontal="center" vertical="center" wrapText="1"/>
      <protection locked="0"/>
    </xf>
    <xf numFmtId="0" fontId="11" fillId="7" borderId="1" xfId="4" applyFill="1" applyBorder="1" applyAlignment="1">
      <alignment vertical="center" wrapText="1"/>
      <protection locked="0"/>
    </xf>
    <xf numFmtId="0" fontId="11" fillId="14" borderId="1" xfId="5" applyFill="1" applyBorder="1">
      <protection locked="0"/>
    </xf>
    <xf numFmtId="0" fontId="11" fillId="0" borderId="0" xfId="4" applyFill="1" applyBorder="1" applyAlignment="1">
      <alignment wrapText="1"/>
      <protection locked="0"/>
    </xf>
    <xf numFmtId="0" fontId="15" fillId="0" borderId="25" xfId="4" applyFont="1" applyFill="1" applyBorder="1" applyAlignment="1">
      <protection locked="0"/>
    </xf>
    <xf numFmtId="0" fontId="4" fillId="4" borderId="0" xfId="1" applyFont="1" applyFill="1" applyAlignment="1">
      <alignment horizontal="center" vertical="center" wrapText="1"/>
    </xf>
    <xf numFmtId="0" fontId="10" fillId="8" borderId="0" xfId="3" applyFont="1" applyBorder="1" applyAlignment="1">
      <alignment horizontal="center" vertical="center" wrapText="1"/>
    </xf>
    <xf numFmtId="0" fontId="14" fillId="12" borderId="1" xfId="4" applyFont="1" applyFill="1" applyBorder="1" applyAlignment="1">
      <alignment vertical="center" wrapText="1"/>
      <protection locked="0"/>
    </xf>
    <xf numFmtId="0" fontId="12" fillId="0" borderId="0" xfId="6">
      <protection locked="0"/>
    </xf>
    <xf numFmtId="0" fontId="11" fillId="13" borderId="1" xfId="4" applyFill="1" applyBorder="1" applyAlignment="1">
      <alignment horizontal="center" vertical="center" wrapText="1"/>
      <protection locked="0"/>
    </xf>
    <xf numFmtId="0" fontId="2" fillId="7" borderId="18" xfId="0" applyFont="1" applyFill="1" applyBorder="1" applyAlignment="1">
      <alignment horizontal="left" vertical="center"/>
    </xf>
    <xf numFmtId="0" fontId="0" fillId="0" borderId="15" xfId="0" applyBorder="1" applyAlignment="1">
      <alignment horizontal="left" vertical="center"/>
    </xf>
    <xf numFmtId="0" fontId="0" fillId="0" borderId="9" xfId="0" applyBorder="1" applyAlignment="1">
      <alignment horizontal="left" vertical="center"/>
    </xf>
    <xf numFmtId="0" fontId="0" fillId="0" borderId="14" xfId="0" applyBorder="1" applyAlignment="1">
      <alignment horizontal="left" vertical="center"/>
    </xf>
  </cellXfs>
  <cellStyles count="8">
    <cellStyle name="Accent1" xfId="1" builtinId="29"/>
    <cellStyle name="Bad" xfId="3" builtinId="27"/>
    <cellStyle name="cells" xfId="5" xr:uid="{3A67AD5F-1204-40CC-8BC5-B7FE8D884C9B}"/>
    <cellStyle name="column field" xfId="4" xr:uid="{55365DBB-EA90-46E6-9FF8-75ECF9431A04}"/>
    <cellStyle name="heading" xfId="7" xr:uid="{330ACA0F-2C0E-4C5B-A805-305A517DB7C8}"/>
    <cellStyle name="Hyperlink" xfId="2" builtinId="8"/>
    <cellStyle name="Normal" xfId="0" builtinId="0"/>
    <cellStyle name="Normal 2" xfId="6" xr:uid="{7210A754-4F61-4A32-9783-DB0CE4C16E7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6</xdr:col>
      <xdr:colOff>245128</xdr:colOff>
      <xdr:row>8</xdr:row>
      <xdr:rowOff>187316</xdr:rowOff>
    </xdr:from>
    <xdr:ext cx="2555261" cy="423834"/>
    <mc:AlternateContent xmlns:mc="http://schemas.openxmlformats.org/markup-compatibility/2006" xmlns:a14="http://schemas.microsoft.com/office/drawing/2010/main">
      <mc:Choice Requires="a14">
        <xdr:sp macro="" textlink="">
          <xdr:nvSpPr>
            <xdr:cNvPr id="2" name="Textfeld 1">
              <a:extLst>
                <a:ext uri="{FF2B5EF4-FFF2-40B4-BE49-F238E27FC236}">
                  <a16:creationId xmlns:a16="http://schemas.microsoft.com/office/drawing/2014/main" id="{00000000-0008-0000-0100-000002000000}"/>
                </a:ext>
              </a:extLst>
            </xdr:cNvPr>
            <xdr:cNvSpPr txBox="1"/>
          </xdr:nvSpPr>
          <xdr:spPr>
            <a:xfrm>
              <a:off x="6588121" y="2468061"/>
              <a:ext cx="2555261" cy="4238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left"/>
                  </m:oMathParaPr>
                  <m:oMath xmlns:m="http://schemas.openxmlformats.org/officeDocument/2006/math">
                    <m:sSub>
                      <m:sSubPr>
                        <m:ctrlPr>
                          <a:rPr lang="de-AT" sz="1100" b="0" i="1">
                            <a:latin typeface="Cambria Math" panose="02040503050406030204" pitchFamily="18" charset="0"/>
                          </a:rPr>
                        </m:ctrlPr>
                      </m:sSubPr>
                      <m:e>
                        <m:r>
                          <a:rPr lang="de-AT" sz="1100" b="0" i="1">
                            <a:solidFill>
                              <a:schemeClr val="tx1"/>
                            </a:solidFill>
                            <a:effectLst/>
                            <a:latin typeface="Cambria Math"/>
                            <a:ea typeface="+mn-ea"/>
                            <a:cs typeface="+mn-cs"/>
                          </a:rPr>
                          <m:t>𝑛</m:t>
                        </m:r>
                      </m:e>
                      <m:sub>
                        <m:r>
                          <a:rPr lang="de-AT" sz="1100" b="0" i="1">
                            <a:latin typeface="Cambria Math"/>
                          </a:rPr>
                          <m:t>𝐴𝑙𝑡𝑒𝑟𝑠𝑔𝑟𝑢𝑝𝑝𝑒</m:t>
                        </m:r>
                      </m:sub>
                    </m:sSub>
                    <m:r>
                      <a:rPr lang="de-AT" sz="1100" b="0" i="1">
                        <a:latin typeface="Cambria Math"/>
                        <a:ea typeface="Cambria Math"/>
                      </a:rPr>
                      <m:t>=</m:t>
                    </m:r>
                    <m:r>
                      <m:rPr>
                        <m:sty m:val="p"/>
                      </m:rPr>
                      <a:rPr lang="de-AT" sz="1100" b="0" i="0">
                        <a:latin typeface="Cambria Math"/>
                        <a:ea typeface="Cambria Math"/>
                      </a:rPr>
                      <m:t>n</m:t>
                    </m:r>
                    <m:r>
                      <a:rPr lang="de-AT" sz="1100" b="0" i="0">
                        <a:latin typeface="Cambria Math"/>
                        <a:ea typeface="Cambria Math"/>
                      </a:rPr>
                      <m:t> </m:t>
                    </m:r>
                    <m:r>
                      <a:rPr lang="de-AT" sz="1100" b="0" i="1">
                        <a:latin typeface="Cambria Math"/>
                        <a:ea typeface="Cambria Math"/>
                      </a:rPr>
                      <m:t>× </m:t>
                    </m:r>
                    <m:f>
                      <m:fPr>
                        <m:ctrlPr>
                          <a:rPr lang="de-AT" sz="1100" b="0" i="1">
                            <a:latin typeface="Cambria Math" panose="02040503050406030204" pitchFamily="18" charset="0"/>
                            <a:ea typeface="Cambria Math"/>
                          </a:rPr>
                        </m:ctrlPr>
                      </m:fPr>
                      <m:num>
                        <m:sSub>
                          <m:sSubPr>
                            <m:ctrlPr>
                              <a:rPr lang="de-AT" sz="1100" b="0" i="1">
                                <a:latin typeface="Cambria Math" panose="02040503050406030204" pitchFamily="18" charset="0"/>
                                <a:ea typeface="Cambria Math"/>
                              </a:rPr>
                            </m:ctrlPr>
                          </m:sSubPr>
                          <m:e>
                            <m:r>
                              <a:rPr lang="de-AT" sz="1100" b="0" i="1">
                                <a:latin typeface="Cambria Math"/>
                                <a:ea typeface="Cambria Math"/>
                              </a:rPr>
                              <m:t>𝑁</m:t>
                            </m:r>
                          </m:e>
                          <m:sub>
                            <m:r>
                              <a:rPr lang="de-AT" sz="1100" b="0" i="1">
                                <a:latin typeface="Cambria Math"/>
                                <a:ea typeface="Cambria Math"/>
                              </a:rPr>
                              <m:t>𝐴𝑙𝑡𝑒𝑟𝑠𝑔𝑟𝑢𝑝𝑝𝑒</m:t>
                            </m:r>
                          </m:sub>
                        </m:sSub>
                      </m:num>
                      <m:den>
                        <m:r>
                          <a:rPr lang="de-AT" sz="1100" b="0" i="1">
                            <a:latin typeface="Cambria Math"/>
                            <a:ea typeface="Cambria Math"/>
                          </a:rPr>
                          <m:t>𝑁</m:t>
                        </m:r>
                      </m:den>
                    </m:f>
                  </m:oMath>
                </m:oMathPara>
              </a14:m>
              <a:endParaRPr lang="de-AT" sz="1100"/>
            </a:p>
          </xdr:txBody>
        </xdr:sp>
      </mc:Choice>
      <mc:Fallback xmlns="">
        <xdr:sp macro="" textlink="">
          <xdr:nvSpPr>
            <xdr:cNvPr id="2" name="Textfeld 1">
              <a:extLst>
                <a:ext uri="{FF2B5EF4-FFF2-40B4-BE49-F238E27FC236}">
                  <a16:creationId xmlns:a16="http://schemas.microsoft.com/office/drawing/2014/main" id="{00000000-0008-0000-0100-000002000000}"/>
                </a:ext>
              </a:extLst>
            </xdr:cNvPr>
            <xdr:cNvSpPr txBox="1"/>
          </xdr:nvSpPr>
          <xdr:spPr>
            <a:xfrm>
              <a:off x="6588121" y="2468061"/>
              <a:ext cx="2555261" cy="4238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de-AT" sz="1100" b="0" i="0">
                  <a:solidFill>
                    <a:schemeClr val="tx1"/>
                  </a:solidFill>
                  <a:effectLst/>
                  <a:latin typeface="Cambria Math"/>
                  <a:ea typeface="+mn-ea"/>
                  <a:cs typeface="+mn-cs"/>
                </a:rPr>
                <a:t>𝑛</a:t>
              </a:r>
              <a:r>
                <a:rPr lang="de-AT" sz="1100" b="0" i="0">
                  <a:solidFill>
                    <a:schemeClr val="tx1"/>
                  </a:solidFill>
                  <a:effectLst/>
                  <a:latin typeface="Cambria Math" panose="02040503050406030204" pitchFamily="18" charset="0"/>
                  <a:ea typeface="+mn-ea"/>
                  <a:cs typeface="+mn-cs"/>
                </a:rPr>
                <a:t>_</a:t>
              </a:r>
              <a:r>
                <a:rPr lang="de-AT" sz="1100" b="0" i="0">
                  <a:latin typeface="Cambria Math"/>
                </a:rPr>
                <a:t>𝐴𝑙𝑡𝑒𝑟𝑠𝑔𝑟𝑢𝑝𝑝𝑒</a:t>
              </a:r>
              <a:r>
                <a:rPr lang="de-AT" sz="1100" b="0" i="0">
                  <a:latin typeface="Cambria Math"/>
                  <a:ea typeface="Cambria Math"/>
                </a:rPr>
                <a:t>=n × </a:t>
              </a:r>
              <a:r>
                <a:rPr lang="de-AT" sz="1100" b="0" i="0">
                  <a:latin typeface="Cambria Math" panose="02040503050406030204" pitchFamily="18" charset="0"/>
                  <a:ea typeface="Cambria Math"/>
                </a:rPr>
                <a:t> </a:t>
              </a:r>
              <a:r>
                <a:rPr lang="de-AT" sz="1100" b="0" i="0">
                  <a:latin typeface="Cambria Math"/>
                  <a:ea typeface="Cambria Math"/>
                </a:rPr>
                <a:t>𝑁</a:t>
              </a:r>
              <a:r>
                <a:rPr lang="de-AT" sz="1100" b="0" i="0">
                  <a:latin typeface="Cambria Math" panose="02040503050406030204" pitchFamily="18" charset="0"/>
                  <a:ea typeface="Cambria Math"/>
                </a:rPr>
                <a:t>_</a:t>
              </a:r>
              <a:r>
                <a:rPr lang="de-AT" sz="1100" b="0" i="0">
                  <a:latin typeface="Cambria Math"/>
                  <a:ea typeface="Cambria Math"/>
                </a:rPr>
                <a:t>𝐴𝑙𝑡𝑒𝑟𝑠𝑔𝑟𝑢𝑝𝑝𝑒</a:t>
              </a:r>
              <a:r>
                <a:rPr lang="de-AT" sz="1100" b="0" i="0">
                  <a:latin typeface="Cambria Math" panose="02040503050406030204" pitchFamily="18" charset="0"/>
                  <a:ea typeface="Cambria Math"/>
                </a:rPr>
                <a:t>/</a:t>
              </a:r>
              <a:r>
                <a:rPr lang="de-AT" sz="1100" b="0" i="0">
                  <a:latin typeface="Cambria Math"/>
                  <a:ea typeface="Cambria Math"/>
                </a:rPr>
                <a:t>𝑁</a:t>
              </a:r>
              <a:endParaRPr lang="de-AT" sz="1100"/>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oneCellAnchor>
    <xdr:from>
      <xdr:col>3</xdr:col>
      <xdr:colOff>224107</xdr:colOff>
      <xdr:row>9</xdr:row>
      <xdr:rowOff>134764</xdr:rowOff>
    </xdr:from>
    <xdr:ext cx="2555261" cy="423834"/>
    <mc:AlternateContent xmlns:mc="http://schemas.openxmlformats.org/markup-compatibility/2006" xmlns:a14="http://schemas.microsoft.com/office/drawing/2010/main">
      <mc:Choice Requires="a14">
        <xdr:sp macro="" textlink="">
          <xdr:nvSpPr>
            <xdr:cNvPr id="2" name="Textfeld 1">
              <a:extLst>
                <a:ext uri="{FF2B5EF4-FFF2-40B4-BE49-F238E27FC236}">
                  <a16:creationId xmlns:a16="http://schemas.microsoft.com/office/drawing/2014/main" id="{716EF920-CE6E-430D-92F9-C426B61A9B74}"/>
                </a:ext>
              </a:extLst>
            </xdr:cNvPr>
            <xdr:cNvSpPr txBox="1"/>
          </xdr:nvSpPr>
          <xdr:spPr>
            <a:xfrm>
              <a:off x="4180157" y="2598564"/>
              <a:ext cx="2555261" cy="4238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left"/>
                  </m:oMathParaPr>
                  <m:oMath xmlns:m="http://schemas.openxmlformats.org/officeDocument/2006/math">
                    <m:sSub>
                      <m:sSubPr>
                        <m:ctrlPr>
                          <a:rPr lang="de-AT" sz="1100" b="0" i="1">
                            <a:latin typeface="Cambria Math" panose="02040503050406030204" pitchFamily="18" charset="0"/>
                          </a:rPr>
                        </m:ctrlPr>
                      </m:sSubPr>
                      <m:e>
                        <m:r>
                          <a:rPr lang="de-AT" sz="1100" b="0" i="1">
                            <a:solidFill>
                              <a:schemeClr val="tx1"/>
                            </a:solidFill>
                            <a:effectLst/>
                            <a:latin typeface="Cambria Math"/>
                            <a:ea typeface="+mn-ea"/>
                            <a:cs typeface="+mn-cs"/>
                          </a:rPr>
                          <m:t>𝑛</m:t>
                        </m:r>
                      </m:e>
                      <m:sub>
                        <m:r>
                          <a:rPr lang="de-AT" sz="1100" b="0" i="1">
                            <a:latin typeface="Cambria Math"/>
                          </a:rPr>
                          <m:t>𝐴𝑙𝑡𝑒𝑟𝑠𝑔𝑟𝑢𝑝𝑝𝑒</m:t>
                        </m:r>
                      </m:sub>
                    </m:sSub>
                    <m:r>
                      <a:rPr lang="de-AT" sz="1100" b="0" i="1">
                        <a:latin typeface="Cambria Math"/>
                        <a:ea typeface="Cambria Math"/>
                      </a:rPr>
                      <m:t>=</m:t>
                    </m:r>
                    <m:r>
                      <m:rPr>
                        <m:sty m:val="p"/>
                      </m:rPr>
                      <a:rPr lang="de-AT" sz="1100" b="0" i="0">
                        <a:latin typeface="Cambria Math"/>
                        <a:ea typeface="Cambria Math"/>
                      </a:rPr>
                      <m:t>n</m:t>
                    </m:r>
                    <m:r>
                      <a:rPr lang="de-AT" sz="1100" b="0" i="0">
                        <a:latin typeface="Cambria Math"/>
                        <a:ea typeface="Cambria Math"/>
                      </a:rPr>
                      <m:t> </m:t>
                    </m:r>
                    <m:r>
                      <a:rPr lang="de-AT" sz="1100" b="0" i="1">
                        <a:latin typeface="Cambria Math"/>
                        <a:ea typeface="Cambria Math"/>
                      </a:rPr>
                      <m:t>× </m:t>
                    </m:r>
                    <m:f>
                      <m:fPr>
                        <m:ctrlPr>
                          <a:rPr lang="de-AT" sz="1100" b="0" i="1">
                            <a:latin typeface="Cambria Math" panose="02040503050406030204" pitchFamily="18" charset="0"/>
                            <a:ea typeface="Cambria Math"/>
                          </a:rPr>
                        </m:ctrlPr>
                      </m:fPr>
                      <m:num>
                        <m:sSub>
                          <m:sSubPr>
                            <m:ctrlPr>
                              <a:rPr lang="de-AT" sz="1100" b="0" i="1">
                                <a:latin typeface="Cambria Math" panose="02040503050406030204" pitchFamily="18" charset="0"/>
                                <a:ea typeface="Cambria Math"/>
                              </a:rPr>
                            </m:ctrlPr>
                          </m:sSubPr>
                          <m:e>
                            <m:r>
                              <a:rPr lang="de-AT" sz="1100" b="0" i="1">
                                <a:latin typeface="Cambria Math"/>
                                <a:ea typeface="Cambria Math"/>
                              </a:rPr>
                              <m:t>𝑁</m:t>
                            </m:r>
                          </m:e>
                          <m:sub>
                            <m:r>
                              <a:rPr lang="de-AT" sz="1100" b="0" i="1">
                                <a:latin typeface="Cambria Math"/>
                                <a:ea typeface="Cambria Math"/>
                              </a:rPr>
                              <m:t>𝐴𝑙𝑡𝑒𝑟𝑠𝑔𝑟𝑢𝑝𝑝𝑒</m:t>
                            </m:r>
                          </m:sub>
                        </m:sSub>
                      </m:num>
                      <m:den>
                        <m:r>
                          <a:rPr lang="de-AT" sz="1100" b="0" i="1">
                            <a:latin typeface="Cambria Math"/>
                            <a:ea typeface="Cambria Math"/>
                          </a:rPr>
                          <m:t>𝑁</m:t>
                        </m:r>
                      </m:den>
                    </m:f>
                  </m:oMath>
                </m:oMathPara>
              </a14:m>
              <a:endParaRPr lang="de-AT" sz="1100"/>
            </a:p>
          </xdr:txBody>
        </xdr:sp>
      </mc:Choice>
      <mc:Fallback xmlns="">
        <xdr:sp macro="" textlink="">
          <xdr:nvSpPr>
            <xdr:cNvPr id="2" name="Textfeld 1">
              <a:extLst>
                <a:ext uri="{FF2B5EF4-FFF2-40B4-BE49-F238E27FC236}">
                  <a16:creationId xmlns:a16="http://schemas.microsoft.com/office/drawing/2014/main" id="{716EF920-CE6E-430D-92F9-C426B61A9B74}"/>
                </a:ext>
              </a:extLst>
            </xdr:cNvPr>
            <xdr:cNvSpPr txBox="1"/>
          </xdr:nvSpPr>
          <xdr:spPr>
            <a:xfrm>
              <a:off x="4180157" y="2598564"/>
              <a:ext cx="2555261" cy="4238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de-AT" sz="1100" b="0" i="0">
                  <a:solidFill>
                    <a:schemeClr val="tx1"/>
                  </a:solidFill>
                  <a:effectLst/>
                  <a:latin typeface="Cambria Math"/>
                  <a:ea typeface="+mn-ea"/>
                  <a:cs typeface="+mn-cs"/>
                </a:rPr>
                <a:t>𝑛</a:t>
              </a:r>
              <a:r>
                <a:rPr lang="de-AT" sz="1100" b="0" i="0">
                  <a:solidFill>
                    <a:schemeClr val="tx1"/>
                  </a:solidFill>
                  <a:effectLst/>
                  <a:latin typeface="Cambria Math" panose="02040503050406030204" pitchFamily="18" charset="0"/>
                  <a:ea typeface="+mn-ea"/>
                  <a:cs typeface="+mn-cs"/>
                </a:rPr>
                <a:t>_</a:t>
              </a:r>
              <a:r>
                <a:rPr lang="de-AT" sz="1100" b="0" i="0">
                  <a:latin typeface="Cambria Math"/>
                </a:rPr>
                <a:t>𝐴𝑙𝑡𝑒𝑟𝑠𝑔𝑟𝑢𝑝𝑝𝑒</a:t>
              </a:r>
              <a:r>
                <a:rPr lang="de-AT" sz="1100" b="0" i="0">
                  <a:latin typeface="Cambria Math"/>
                  <a:ea typeface="Cambria Math"/>
                </a:rPr>
                <a:t>=n × </a:t>
              </a:r>
              <a:r>
                <a:rPr lang="de-AT" sz="1100" b="0" i="0">
                  <a:latin typeface="Cambria Math" panose="02040503050406030204" pitchFamily="18" charset="0"/>
                  <a:ea typeface="Cambria Math"/>
                </a:rPr>
                <a:t> </a:t>
              </a:r>
              <a:r>
                <a:rPr lang="de-AT" sz="1100" b="0" i="0">
                  <a:latin typeface="Cambria Math"/>
                  <a:ea typeface="Cambria Math"/>
                </a:rPr>
                <a:t>𝑁</a:t>
              </a:r>
              <a:r>
                <a:rPr lang="de-AT" sz="1100" b="0" i="0">
                  <a:latin typeface="Cambria Math" panose="02040503050406030204" pitchFamily="18" charset="0"/>
                  <a:ea typeface="Cambria Math"/>
                </a:rPr>
                <a:t>_</a:t>
              </a:r>
              <a:r>
                <a:rPr lang="de-AT" sz="1100" b="0" i="0">
                  <a:latin typeface="Cambria Math"/>
                  <a:ea typeface="Cambria Math"/>
                </a:rPr>
                <a:t>𝐴𝑙𝑡𝑒𝑟𝑠𝑔𝑟𝑢𝑝𝑝𝑒</a:t>
              </a:r>
              <a:r>
                <a:rPr lang="de-AT" sz="1100" b="0" i="0">
                  <a:latin typeface="Cambria Math" panose="02040503050406030204" pitchFamily="18" charset="0"/>
                  <a:ea typeface="Cambria Math"/>
                </a:rPr>
                <a:t>/</a:t>
              </a:r>
              <a:r>
                <a:rPr lang="de-AT" sz="1100" b="0" i="0">
                  <a:latin typeface="Cambria Math"/>
                  <a:ea typeface="Cambria Math"/>
                </a:rPr>
                <a:t>𝑁</a:t>
              </a:r>
              <a:endParaRPr lang="de-AT"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91821</xdr:colOff>
      <xdr:row>1</xdr:row>
      <xdr:rowOff>109347</xdr:rowOff>
    </xdr:to>
    <xdr:pic>
      <xdr:nvPicPr>
        <xdr:cNvPr id="2" name="Grafik 2">
          <a:extLst>
            <a:ext uri="{FF2B5EF4-FFF2-40B4-BE49-F238E27FC236}">
              <a16:creationId xmlns:a16="http://schemas.microsoft.com/office/drawing/2014/main" id="{6032BF0C-29CD-4926-8B50-F020174646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181481" cy="269367"/>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random.org/"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dimension ref="A1:O1005"/>
  <sheetViews>
    <sheetView tabSelected="1" topLeftCell="C1" zoomScale="115" zoomScaleNormal="115" workbookViewId="0">
      <selection activeCell="J4" sqref="J4:J11"/>
    </sheetView>
  </sheetViews>
  <sheetFormatPr defaultColWidth="10.88671875" defaultRowHeight="15.6"/>
  <cols>
    <col min="1" max="1" width="51.21875" style="2" customWidth="1"/>
    <col min="2" max="2" width="2.77734375" style="3" customWidth="1"/>
    <col min="3" max="3" width="43.77734375" style="9" customWidth="1"/>
    <col min="4" max="4" width="4" style="8" customWidth="1"/>
    <col min="5" max="5" width="4" style="1" bestFit="1" customWidth="1"/>
    <col min="6" max="6" width="13" style="8" customWidth="1"/>
    <col min="7" max="9" width="14" style="8" customWidth="1"/>
    <col min="10" max="10" width="68.21875" style="13" bestFit="1" customWidth="1"/>
    <col min="11" max="11" width="10.44140625" customWidth="1"/>
    <col min="12" max="12" width="10.88671875" style="1"/>
    <col min="13" max="13" width="19.5546875" bestFit="1" customWidth="1"/>
    <col min="14" max="14" width="15.5546875" bestFit="1" customWidth="1"/>
    <col min="15" max="15" width="52.5546875" customWidth="1"/>
  </cols>
  <sheetData>
    <row r="1" spans="1:15" ht="21" customHeight="1">
      <c r="A1" s="6" t="s">
        <v>1125</v>
      </c>
      <c r="C1" s="66" t="s">
        <v>1126</v>
      </c>
      <c r="D1" s="66"/>
      <c r="E1" s="66"/>
      <c r="F1" s="66"/>
      <c r="G1" s="66"/>
      <c r="H1" s="66"/>
      <c r="I1" s="66"/>
      <c r="J1" s="66"/>
      <c r="K1" s="66"/>
      <c r="L1" s="47"/>
      <c r="M1" s="30"/>
      <c r="N1" s="30"/>
      <c r="O1" s="30"/>
    </row>
    <row r="2" spans="1:15" ht="47.4" thickBot="1">
      <c r="A2" s="2" t="s">
        <v>1116</v>
      </c>
      <c r="C2" s="7" t="s">
        <v>1117</v>
      </c>
    </row>
    <row r="3" spans="1:15" ht="15.75" customHeight="1" thickBot="1">
      <c r="E3" s="43" t="s">
        <v>11</v>
      </c>
      <c r="F3" s="44" t="s">
        <v>1123</v>
      </c>
      <c r="G3" s="45" t="s">
        <v>1124</v>
      </c>
      <c r="H3" s="46" t="s">
        <v>1113</v>
      </c>
      <c r="I3" s="50" t="s">
        <v>1114</v>
      </c>
      <c r="J3" s="71" t="s">
        <v>1115</v>
      </c>
      <c r="L3" s="67" t="s">
        <v>12</v>
      </c>
      <c r="M3" s="67"/>
      <c r="N3" s="67"/>
      <c r="O3" s="67"/>
    </row>
    <row r="4" spans="1:15">
      <c r="C4" s="20" t="s">
        <v>1118</v>
      </c>
      <c r="E4" s="34">
        <v>1</v>
      </c>
      <c r="F4" s="31">
        <f ca="1">RANDBETWEEN(1,1000)</f>
        <v>356</v>
      </c>
      <c r="G4" s="41">
        <v>694</v>
      </c>
      <c r="H4" s="42" t="str">
        <f>VLOOKUP($G4,lut,2,FALSE)</f>
        <v>Lena</v>
      </c>
      <c r="I4" s="51" t="str">
        <f>VLOOKUP($G4,lut,3,FALSE)</f>
        <v>Fischer</v>
      </c>
      <c r="J4" s="72" t="str">
        <f>VLOOKUP($G4,lut,4,FALSE)</f>
        <v>Gartenweg 14E, Stg. 3, Tür 2, 2100 Korneuburg, Österreich</v>
      </c>
    </row>
    <row r="5" spans="1:15">
      <c r="C5" s="5" t="s">
        <v>1119</v>
      </c>
      <c r="E5" s="32">
        <v>2</v>
      </c>
      <c r="F5" s="31">
        <f t="shared" ref="F5:G68" ca="1" si="0">RANDBETWEEN(1,1000)</f>
        <v>507</v>
      </c>
      <c r="G5" s="33">
        <v>23</v>
      </c>
      <c r="H5" s="42" t="str">
        <f>VLOOKUP($G5,lut,2,FALSE)</f>
        <v>Laura</v>
      </c>
      <c r="I5" s="51" t="str">
        <f>VLOOKUP($G5,lut,3,FALSE)</f>
        <v>Zimmermann</v>
      </c>
      <c r="J5" s="72" t="str">
        <f>VLOOKUP($G5,lut,4,FALSE)</f>
        <v>Mühlweg 55, 6900 Bregenz, Österreich</v>
      </c>
      <c r="L5" s="49" t="s">
        <v>11</v>
      </c>
      <c r="M5" s="17" t="s">
        <v>1113</v>
      </c>
      <c r="N5" s="17" t="s">
        <v>1114</v>
      </c>
      <c r="O5" s="17" t="s">
        <v>1115</v>
      </c>
    </row>
    <row r="6" spans="1:15">
      <c r="C6" s="5" t="s">
        <v>1120</v>
      </c>
      <c r="E6" s="34">
        <v>3</v>
      </c>
      <c r="F6" s="31">
        <f t="shared" ca="1" si="0"/>
        <v>41</v>
      </c>
      <c r="G6" s="33">
        <v>139</v>
      </c>
      <c r="H6" s="42" t="str">
        <f>VLOOKUP($G6,lut,2,FALSE)</f>
        <v>Noah</v>
      </c>
      <c r="I6" s="51" t="str">
        <f>VLOOKUP($G6,lut,3,FALSE)</f>
        <v>Hofer</v>
      </c>
      <c r="J6" s="72" t="str">
        <f>VLOOKUP($G6,lut,4,FALSE)</f>
        <v>WaldMühlgasse 151, 1060 Wien, Österreich</v>
      </c>
      <c r="L6" s="48">
        <v>1</v>
      </c>
      <c r="M6" s="11" t="s">
        <v>13</v>
      </c>
      <c r="N6" s="11" t="s">
        <v>14</v>
      </c>
      <c r="O6" s="11" t="s">
        <v>15</v>
      </c>
    </row>
    <row r="7" spans="1:15">
      <c r="C7" s="5"/>
      <c r="E7" s="32">
        <v>4</v>
      </c>
      <c r="F7" s="31">
        <f t="shared" ca="1" si="0"/>
        <v>852</v>
      </c>
      <c r="G7" s="33">
        <v>742</v>
      </c>
      <c r="H7" s="42" t="str">
        <f>VLOOKUP($G7,lut,2,FALSE)</f>
        <v>Johanna</v>
      </c>
      <c r="I7" s="51" t="str">
        <f>VLOOKUP($G7,lut,3,FALSE)</f>
        <v>Brunner</v>
      </c>
      <c r="J7" s="72" t="str">
        <f>VLOOKUP($G7,lut,4,FALSE)</f>
        <v>Mühlgasse 10, 6020 Innsbruck, Österreich</v>
      </c>
      <c r="L7" s="48">
        <v>2</v>
      </c>
      <c r="M7" s="11" t="s">
        <v>16</v>
      </c>
      <c r="N7" s="11" t="s">
        <v>17</v>
      </c>
      <c r="O7" s="11" t="s">
        <v>18</v>
      </c>
    </row>
    <row r="8" spans="1:15">
      <c r="C8" s="19" t="s">
        <v>1121</v>
      </c>
      <c r="E8" s="35">
        <v>5</v>
      </c>
      <c r="F8" s="31">
        <f t="shared" ca="1" si="0"/>
        <v>741</v>
      </c>
      <c r="G8" s="33">
        <v>688</v>
      </c>
      <c r="H8" s="42" t="str">
        <f>VLOOKUP($G8,lut,2,FALSE)</f>
        <v>Maximilian</v>
      </c>
      <c r="I8" s="51" t="str">
        <f>VLOOKUP($G8,lut,3,FALSE)</f>
        <v>Schuster</v>
      </c>
      <c r="J8" s="72" t="str">
        <f>VLOOKUP($G8,lut,4,FALSE)</f>
        <v>Mühlgasse 20, 6020 Innsbruck, Österreich</v>
      </c>
      <c r="L8" s="48">
        <v>3</v>
      </c>
      <c r="M8" s="11" t="s">
        <v>19</v>
      </c>
      <c r="N8" s="11" t="s">
        <v>20</v>
      </c>
      <c r="O8" s="11" t="s">
        <v>21</v>
      </c>
    </row>
    <row r="9" spans="1:15">
      <c r="C9" s="18" t="s">
        <v>10</v>
      </c>
      <c r="E9" s="32">
        <v>6</v>
      </c>
      <c r="F9" s="31">
        <f t="shared" ca="1" si="0"/>
        <v>280</v>
      </c>
      <c r="G9" s="33">
        <v>638</v>
      </c>
      <c r="H9" s="42" t="str">
        <f>VLOOKUP($G9,lut,2,FALSE)</f>
        <v>Melanie</v>
      </c>
      <c r="I9" s="51" t="str">
        <f>VLOOKUP($G9,lut,3,FALSE)</f>
        <v>Maier</v>
      </c>
      <c r="J9" s="72" t="str">
        <f>VLOOKUP($G9,lut,4,FALSE)</f>
        <v>EichenKirchenring 177, 1050 Wien, Österreich</v>
      </c>
      <c r="L9" s="48">
        <v>4</v>
      </c>
      <c r="M9" s="11" t="s">
        <v>22</v>
      </c>
      <c r="N9" s="11" t="s">
        <v>23</v>
      </c>
      <c r="O9" s="11" t="s">
        <v>24</v>
      </c>
    </row>
    <row r="10" spans="1:15">
      <c r="C10" s="13" t="s">
        <v>1122</v>
      </c>
      <c r="E10" s="32">
        <v>7</v>
      </c>
      <c r="F10" s="31">
        <f t="shared" ca="1" si="0"/>
        <v>242</v>
      </c>
      <c r="G10" s="33">
        <v>595</v>
      </c>
      <c r="H10" s="42" t="str">
        <f>VLOOKUP($G10,lut,2,FALSE)</f>
        <v>Nina</v>
      </c>
      <c r="I10" s="51" t="str">
        <f>VLOOKUP($G10,lut,3,FALSE)</f>
        <v>Richter</v>
      </c>
      <c r="J10" s="72" t="str">
        <f>VLOOKUP($G10,lut,4,FALSE)</f>
        <v>Ahornstraße 94, 1080 Wien, Österreich</v>
      </c>
      <c r="L10" s="48">
        <v>5</v>
      </c>
      <c r="M10" s="11" t="s">
        <v>25</v>
      </c>
      <c r="N10" s="11" t="s">
        <v>26</v>
      </c>
      <c r="O10" s="11" t="s">
        <v>27</v>
      </c>
    </row>
    <row r="11" spans="1:15">
      <c r="E11" s="32">
        <v>8</v>
      </c>
      <c r="F11" s="31">
        <f t="shared" ca="1" si="0"/>
        <v>802</v>
      </c>
      <c r="G11" s="33">
        <v>495</v>
      </c>
      <c r="H11" s="42" t="str">
        <f>VLOOKUP($G11,lut,2,FALSE)</f>
        <v>Franz</v>
      </c>
      <c r="I11" s="51" t="str">
        <f>VLOOKUP($G11,lut,3,FALSE)</f>
        <v>Schuster</v>
      </c>
      <c r="J11" s="72" t="str">
        <f>VLOOKUP($G11,lut,4,FALSE)</f>
        <v>Döblingerstraße 54, 8010 Graz, Österreich</v>
      </c>
      <c r="L11" s="48">
        <v>6</v>
      </c>
      <c r="M11" s="11" t="s">
        <v>13</v>
      </c>
      <c r="N11" s="11" t="s">
        <v>28</v>
      </c>
      <c r="O11" s="11" t="s">
        <v>29</v>
      </c>
    </row>
    <row r="12" spans="1:15">
      <c r="E12" s="32">
        <v>9</v>
      </c>
      <c r="F12" s="31">
        <f t="shared" ca="1" si="0"/>
        <v>173</v>
      </c>
      <c r="G12" s="33">
        <v>612</v>
      </c>
      <c r="H12" s="42" t="str">
        <f>VLOOKUP($G12,lut,2,FALSE)</f>
        <v>Sophie</v>
      </c>
      <c r="I12" s="51" t="str">
        <f>VLOOKUP($G12,lut,3,FALSE)</f>
        <v>Koch</v>
      </c>
      <c r="J12" s="72" t="str">
        <f>VLOOKUP($G12,lut,4,FALSE)</f>
        <v>Marktstraße 148, Stg. 3, Tür 23, 8010 Graz, Österreich</v>
      </c>
      <c r="L12" s="48">
        <v>7</v>
      </c>
      <c r="M12" s="11" t="s">
        <v>30</v>
      </c>
      <c r="N12" s="11" t="s">
        <v>20</v>
      </c>
      <c r="O12" s="11" t="s">
        <v>31</v>
      </c>
    </row>
    <row r="13" spans="1:15">
      <c r="E13" s="32">
        <v>10</v>
      </c>
      <c r="F13" s="31">
        <f t="shared" ca="1" si="0"/>
        <v>384</v>
      </c>
      <c r="G13" s="33">
        <v>596</v>
      </c>
      <c r="H13" s="42" t="str">
        <f>VLOOKUP($G13,lut,2,FALSE)</f>
        <v>Laura</v>
      </c>
      <c r="I13" s="51" t="str">
        <f>VLOOKUP($G13,lut,3,FALSE)</f>
        <v>Stark</v>
      </c>
      <c r="J13" s="72" t="str">
        <f>VLOOKUP($G13,lut,4,FALSE)</f>
        <v>Döblingerkai 135, 8010 Graz, Österreich</v>
      </c>
      <c r="L13" s="48">
        <v>8</v>
      </c>
      <c r="M13" s="11" t="s">
        <v>32</v>
      </c>
      <c r="N13" s="11" t="s">
        <v>33</v>
      </c>
      <c r="O13" s="11" t="s">
        <v>34</v>
      </c>
    </row>
    <row r="14" spans="1:15">
      <c r="E14" s="32">
        <v>11</v>
      </c>
      <c r="F14" s="31">
        <f t="shared" ca="1" si="0"/>
        <v>933</v>
      </c>
      <c r="G14" s="33">
        <v>595</v>
      </c>
      <c r="H14" s="42" t="str">
        <f>VLOOKUP($G14,lut,2,FALSE)</f>
        <v>Nina</v>
      </c>
      <c r="I14" s="51" t="str">
        <f>VLOOKUP($G14,lut,3,FALSE)</f>
        <v>Richter</v>
      </c>
      <c r="J14" s="72" t="str">
        <f>VLOOKUP($G14,lut,4,FALSE)</f>
        <v>Ahornstraße 94, 1080 Wien, Österreich</v>
      </c>
      <c r="L14" s="48">
        <v>9</v>
      </c>
      <c r="M14" s="11" t="s">
        <v>35</v>
      </c>
      <c r="N14" s="11" t="s">
        <v>36</v>
      </c>
      <c r="O14" s="11" t="s">
        <v>37</v>
      </c>
    </row>
    <row r="15" spans="1:15">
      <c r="E15" s="32">
        <v>12</v>
      </c>
      <c r="F15" s="31">
        <f t="shared" ca="1" si="0"/>
        <v>98</v>
      </c>
      <c r="G15" s="33">
        <v>7</v>
      </c>
      <c r="H15" s="42" t="str">
        <f>VLOOKUP($G15,lut,2,FALSE)</f>
        <v>Paul</v>
      </c>
      <c r="I15" s="51" t="str">
        <f>VLOOKUP($G15,lut,3,FALSE)</f>
        <v>Maier</v>
      </c>
      <c r="J15" s="72" t="str">
        <f>VLOOKUP($G15,lut,4,FALSE)</f>
        <v>Schlossplatz 163, 1060 Wien, Österreich</v>
      </c>
      <c r="L15" s="48">
        <v>10</v>
      </c>
      <c r="M15" s="11" t="s">
        <v>38</v>
      </c>
      <c r="N15" s="11" t="s">
        <v>39</v>
      </c>
      <c r="O15" s="11" t="s">
        <v>40</v>
      </c>
    </row>
    <row r="16" spans="1:15">
      <c r="E16" s="32">
        <v>13</v>
      </c>
      <c r="F16" s="31">
        <f t="shared" ca="1" si="0"/>
        <v>613</v>
      </c>
      <c r="G16" s="33">
        <v>286</v>
      </c>
      <c r="H16" s="42" t="str">
        <f>VLOOKUP($G16,lut,2,FALSE)</f>
        <v>Felix</v>
      </c>
      <c r="I16" s="51" t="str">
        <f>VLOOKUP($G16,lut,3,FALSE)</f>
        <v>Leitner</v>
      </c>
      <c r="J16" s="72" t="str">
        <f>VLOOKUP($G16,lut,4,FALSE)</f>
        <v>Lindenallee 91, Stg. 4, Tür 30, 2380 Perchtoldsdorf, Österreich</v>
      </c>
      <c r="L16" s="48">
        <v>11</v>
      </c>
      <c r="M16" s="11" t="s">
        <v>41</v>
      </c>
      <c r="N16" s="11" t="s">
        <v>42</v>
      </c>
      <c r="O16" s="11" t="s">
        <v>43</v>
      </c>
    </row>
    <row r="17" spans="5:15">
      <c r="E17" s="32">
        <v>14</v>
      </c>
      <c r="F17" s="31">
        <f t="shared" ca="1" si="0"/>
        <v>230</v>
      </c>
      <c r="G17" s="33">
        <v>157</v>
      </c>
      <c r="H17" s="42" t="str">
        <f>VLOOKUP($G17,lut,2,FALSE)</f>
        <v>Lea</v>
      </c>
      <c r="I17" s="51" t="str">
        <f>VLOOKUP($G17,lut,3,FALSE)</f>
        <v>Kraus</v>
      </c>
      <c r="J17" s="72" t="str">
        <f>VLOOKUP($G17,lut,4,FALSE)</f>
        <v>Wiesenweg 152, 5020 Salzburg, Österreich</v>
      </c>
      <c r="L17" s="48">
        <v>12</v>
      </c>
      <c r="M17" s="11" t="s">
        <v>44</v>
      </c>
      <c r="N17" s="11" t="s">
        <v>45</v>
      </c>
      <c r="O17" s="11" t="s">
        <v>46</v>
      </c>
    </row>
    <row r="18" spans="5:15">
      <c r="E18" s="32">
        <v>15</v>
      </c>
      <c r="F18" s="31">
        <f t="shared" ca="1" si="0"/>
        <v>109</v>
      </c>
      <c r="G18" s="33">
        <v>908</v>
      </c>
      <c r="H18" s="42" t="str">
        <f>VLOOKUP($G18,lut,2,FALSE)</f>
        <v>Matthias</v>
      </c>
      <c r="I18" s="51" t="str">
        <f>VLOOKUP($G18,lut,3,FALSE)</f>
        <v>Maier</v>
      </c>
      <c r="J18" s="72" t="str">
        <f>VLOOKUP($G18,lut,4,FALSE)</f>
        <v>Augartenweg 91, 8010 Graz, Österreich</v>
      </c>
      <c r="L18" s="48">
        <v>13</v>
      </c>
      <c r="M18" s="11" t="s">
        <v>47</v>
      </c>
      <c r="N18" s="11" t="s">
        <v>48</v>
      </c>
      <c r="O18" s="11" t="s">
        <v>49</v>
      </c>
    </row>
    <row r="19" spans="5:15">
      <c r="E19" s="32">
        <v>16</v>
      </c>
      <c r="F19" s="31">
        <f t="shared" ca="1" si="0"/>
        <v>153</v>
      </c>
      <c r="G19" s="33">
        <v>61</v>
      </c>
      <c r="H19" s="42" t="str">
        <f>VLOOKUP($G19,lut,2,FALSE)</f>
        <v>David</v>
      </c>
      <c r="I19" s="51" t="str">
        <f>VLOOKUP($G19,lut,3,FALSE)</f>
        <v>Winkler</v>
      </c>
      <c r="J19" s="72" t="str">
        <f>VLOOKUP($G19,lut,4,FALSE)</f>
        <v>ParkFeldallee 60, 1050 Wien, Österreich</v>
      </c>
      <c r="L19" s="48">
        <v>14</v>
      </c>
      <c r="M19" s="11" t="s">
        <v>50</v>
      </c>
      <c r="N19" s="11" t="s">
        <v>51</v>
      </c>
      <c r="O19" s="11" t="s">
        <v>52</v>
      </c>
    </row>
    <row r="20" spans="5:15">
      <c r="E20" s="32">
        <v>17</v>
      </c>
      <c r="F20" s="31">
        <f t="shared" ca="1" si="0"/>
        <v>498</v>
      </c>
      <c r="G20" s="33">
        <v>472</v>
      </c>
      <c r="H20" s="42" t="str">
        <f>VLOOKUP($G20,lut,2,FALSE)</f>
        <v>Georg</v>
      </c>
      <c r="I20" s="51" t="str">
        <f>VLOOKUP($G20,lut,3,FALSE)</f>
        <v>Brunner</v>
      </c>
      <c r="J20" s="72" t="str">
        <f>VLOOKUP($G20,lut,4,FALSE)</f>
        <v>Flussring 151D, 2700 Wiener Neustadt, Österreich</v>
      </c>
      <c r="L20" s="48">
        <v>15</v>
      </c>
      <c r="M20" s="11" t="s">
        <v>53</v>
      </c>
      <c r="N20" s="11" t="s">
        <v>54</v>
      </c>
      <c r="O20" s="11" t="s">
        <v>55</v>
      </c>
    </row>
    <row r="21" spans="5:15">
      <c r="E21" s="32">
        <v>18</v>
      </c>
      <c r="F21" s="31">
        <f t="shared" ca="1" si="0"/>
        <v>549</v>
      </c>
      <c r="G21" s="33">
        <v>445</v>
      </c>
      <c r="H21" s="42" t="str">
        <f>VLOOKUP($G21,lut,2,FALSE)</f>
        <v>Maximilian</v>
      </c>
      <c r="I21" s="51" t="str">
        <f>VLOOKUP($G21,lut,3,FALSE)</f>
        <v>Kaiser</v>
      </c>
      <c r="J21" s="72" t="str">
        <f>VLOOKUP($G21,lut,4,FALSE)</f>
        <v>PromenadeSchubertkai 5, 6900 Bregenz, Österreich</v>
      </c>
      <c r="L21" s="48">
        <v>16</v>
      </c>
      <c r="M21" s="11" t="s">
        <v>56</v>
      </c>
      <c r="N21" s="11" t="s">
        <v>57</v>
      </c>
      <c r="O21" s="11" t="s">
        <v>58</v>
      </c>
    </row>
    <row r="22" spans="5:15">
      <c r="E22" s="32">
        <v>19</v>
      </c>
      <c r="F22" s="31">
        <f t="shared" ca="1" si="0"/>
        <v>893</v>
      </c>
      <c r="G22" s="33">
        <v>291</v>
      </c>
      <c r="H22" s="42" t="str">
        <f>VLOOKUP($G22,lut,2,FALSE)</f>
        <v>Marie</v>
      </c>
      <c r="I22" s="51" t="str">
        <f>VLOOKUP($G22,lut,3,FALSE)</f>
        <v>Schmid</v>
      </c>
      <c r="J22" s="72" t="str">
        <f>VLOOKUP($G22,lut,4,FALSE)</f>
        <v>Parkstraße 151F, 2380 Perchtoldsdorf, Österreich</v>
      </c>
      <c r="L22" s="48">
        <v>17</v>
      </c>
      <c r="M22" s="11" t="s">
        <v>13</v>
      </c>
      <c r="N22" s="11" t="s">
        <v>59</v>
      </c>
      <c r="O22" s="11" t="s">
        <v>60</v>
      </c>
    </row>
    <row r="23" spans="5:15">
      <c r="E23" s="32">
        <v>20</v>
      </c>
      <c r="F23" s="31">
        <f t="shared" ca="1" si="0"/>
        <v>841</v>
      </c>
      <c r="G23" s="33">
        <v>325</v>
      </c>
      <c r="H23" s="42" t="str">
        <f>VLOOKUP($G23,lut,2,FALSE)</f>
        <v>Raphael</v>
      </c>
      <c r="I23" s="51" t="str">
        <f>VLOOKUP($G23,lut,3,FALSE)</f>
        <v>Brunner</v>
      </c>
      <c r="J23" s="72" t="str">
        <f>VLOOKUP($G23,lut,4,FALSE)</f>
        <v>MariahilferRathausplatz 8, 1080 Wien, Österreich</v>
      </c>
      <c r="L23" s="48">
        <v>18</v>
      </c>
      <c r="M23" s="11" t="s">
        <v>50</v>
      </c>
      <c r="N23" s="11" t="s">
        <v>61</v>
      </c>
      <c r="O23" s="11" t="s">
        <v>62</v>
      </c>
    </row>
    <row r="24" spans="5:15">
      <c r="E24" s="32">
        <v>21</v>
      </c>
      <c r="F24" s="31">
        <f t="shared" ca="1" si="0"/>
        <v>481</v>
      </c>
      <c r="G24" s="33">
        <v>531</v>
      </c>
      <c r="H24" s="42" t="str">
        <f>VLOOKUP($G24,lut,2,FALSE)</f>
        <v>Clara</v>
      </c>
      <c r="I24" s="51" t="str">
        <f>VLOOKUP($G24,lut,3,FALSE)</f>
        <v>Jäger</v>
      </c>
      <c r="J24" s="72" t="str">
        <f>VLOOKUP($G24,lut,4,FALSE)</f>
        <v>Mozartweg 179, Stg. 4, Tür 15, 2500 Baden, Österreich</v>
      </c>
      <c r="L24" s="48">
        <v>19</v>
      </c>
      <c r="M24" s="11" t="s">
        <v>30</v>
      </c>
      <c r="N24" s="11" t="s">
        <v>17</v>
      </c>
      <c r="O24" s="11" t="s">
        <v>63</v>
      </c>
    </row>
    <row r="25" spans="5:15">
      <c r="E25" s="32">
        <v>22</v>
      </c>
      <c r="F25" s="31">
        <f t="shared" ca="1" si="0"/>
        <v>835</v>
      </c>
      <c r="G25" s="33">
        <v>260</v>
      </c>
      <c r="H25" s="42" t="str">
        <f>VLOOKUP($G25,lut,2,FALSE)</f>
        <v>Fabian</v>
      </c>
      <c r="I25" s="51" t="str">
        <f>VLOOKUP($G25,lut,3,FALSE)</f>
        <v>Pichler</v>
      </c>
      <c r="J25" s="72" t="str">
        <f>VLOOKUP($G25,lut,4,FALSE)</f>
        <v>Döblingerstraße 18, Stg. 4, Tür 12, 3100 St. Pölten, Österreich</v>
      </c>
      <c r="L25" s="48">
        <v>20</v>
      </c>
      <c r="M25" s="11" t="s">
        <v>64</v>
      </c>
      <c r="N25" s="11" t="s">
        <v>65</v>
      </c>
      <c r="O25" s="11" t="s">
        <v>66</v>
      </c>
    </row>
    <row r="26" spans="5:15">
      <c r="E26" s="32">
        <v>23</v>
      </c>
      <c r="F26" s="31">
        <f t="shared" ca="1" si="0"/>
        <v>718</v>
      </c>
      <c r="G26" s="33">
        <v>919</v>
      </c>
      <c r="H26" s="42" t="str">
        <f>VLOOKUP($G26,lut,2,FALSE)</f>
        <v>Katharina</v>
      </c>
      <c r="I26" s="51" t="str">
        <f>VLOOKUP($G26,lut,3,FALSE)</f>
        <v>Scherer</v>
      </c>
      <c r="J26" s="72" t="str">
        <f>VLOOKUP($G26,lut,4,FALSE)</f>
        <v>Bergkai 136, 1050 Wien, Österreich</v>
      </c>
      <c r="L26" s="48">
        <v>21</v>
      </c>
      <c r="M26" s="11" t="s">
        <v>67</v>
      </c>
      <c r="N26" s="11" t="s">
        <v>48</v>
      </c>
      <c r="O26" s="11" t="s">
        <v>68</v>
      </c>
    </row>
    <row r="27" spans="5:15">
      <c r="E27" s="32">
        <v>24</v>
      </c>
      <c r="F27" s="31">
        <f t="shared" ca="1" si="0"/>
        <v>316</v>
      </c>
      <c r="G27" s="33">
        <v>90</v>
      </c>
      <c r="H27" s="42" t="str">
        <f>VLOOKUP($G27,lut,2,FALSE)</f>
        <v>Theresa</v>
      </c>
      <c r="I27" s="51" t="str">
        <f>VLOOKUP($G27,lut,3,FALSE)</f>
        <v>Koch</v>
      </c>
      <c r="J27" s="72" t="str">
        <f>VLOOKUP($G27,lut,4,FALSE)</f>
        <v>Universitätskai 134, 2700 Wiener Neustadt, Österreich</v>
      </c>
      <c r="L27" s="48">
        <v>22</v>
      </c>
      <c r="M27" s="11" t="s">
        <v>69</v>
      </c>
      <c r="N27" s="11" t="s">
        <v>20</v>
      </c>
      <c r="O27" s="11" t="s">
        <v>70</v>
      </c>
    </row>
    <row r="28" spans="5:15">
      <c r="E28" s="32">
        <v>25</v>
      </c>
      <c r="F28" s="31">
        <f t="shared" ca="1" si="0"/>
        <v>605</v>
      </c>
      <c r="G28" s="33">
        <v>879</v>
      </c>
      <c r="H28" s="42" t="str">
        <f>VLOOKUP($G28,lut,2,FALSE)</f>
        <v>Anna</v>
      </c>
      <c r="I28" s="51" t="str">
        <f>VLOOKUP($G28,lut,3,FALSE)</f>
        <v>Winkler</v>
      </c>
      <c r="J28" s="72" t="str">
        <f>VLOOKUP($G28,lut,4,FALSE)</f>
        <v>Flussring 116, 6900 Bregenz, Österreich</v>
      </c>
      <c r="L28" s="48">
        <v>23</v>
      </c>
      <c r="M28" s="11" t="s">
        <v>71</v>
      </c>
      <c r="N28" s="11" t="s">
        <v>59</v>
      </c>
      <c r="O28" s="11" t="s">
        <v>72</v>
      </c>
    </row>
    <row r="29" spans="5:15">
      <c r="E29" s="32">
        <v>26</v>
      </c>
      <c r="F29" s="31">
        <f t="shared" ca="1" si="0"/>
        <v>587</v>
      </c>
      <c r="G29" s="33">
        <v>73</v>
      </c>
      <c r="H29" s="42" t="str">
        <f>VLOOKUP($G29,lut,2,FALSE)</f>
        <v>Carina</v>
      </c>
      <c r="I29" s="51" t="str">
        <f>VLOOKUP($G29,lut,3,FALSE)</f>
        <v>Lang</v>
      </c>
      <c r="J29" s="72" t="str">
        <f>VLOOKUP($G29,lut,4,FALSE)</f>
        <v>Bahnhofallee 161, 6020 Innsbruck, Österreich</v>
      </c>
      <c r="L29" s="48">
        <v>24</v>
      </c>
      <c r="M29" s="11" t="s">
        <v>41</v>
      </c>
      <c r="N29" s="11" t="s">
        <v>73</v>
      </c>
      <c r="O29" s="11" t="s">
        <v>74</v>
      </c>
    </row>
    <row r="30" spans="5:15">
      <c r="E30" s="32">
        <v>27</v>
      </c>
      <c r="F30" s="31">
        <f t="shared" ca="1" si="0"/>
        <v>181</v>
      </c>
      <c r="G30" s="33">
        <v>976</v>
      </c>
      <c r="H30" s="42" t="str">
        <f>VLOOKUP($G30,lut,2,FALSE)</f>
        <v>Florian</v>
      </c>
      <c r="I30" s="51" t="str">
        <f>VLOOKUP($G30,lut,3,FALSE)</f>
        <v>Winter</v>
      </c>
      <c r="J30" s="72" t="str">
        <f>VLOOKUP($G30,lut,4,FALSE)</f>
        <v>AlleeSchlossallee 4, 1030 Wien, Österreich</v>
      </c>
      <c r="L30" s="48">
        <v>25</v>
      </c>
      <c r="M30" s="11" t="s">
        <v>25</v>
      </c>
      <c r="N30" s="11" t="s">
        <v>75</v>
      </c>
      <c r="O30" s="11" t="s">
        <v>76</v>
      </c>
    </row>
    <row r="31" spans="5:15">
      <c r="E31" s="32">
        <v>28</v>
      </c>
      <c r="F31" s="31">
        <f t="shared" ca="1" si="0"/>
        <v>964</v>
      </c>
      <c r="G31" s="33">
        <v>565</v>
      </c>
      <c r="H31" s="42" t="str">
        <f>VLOOKUP($G31,lut,2,FALSE)</f>
        <v>Noah</v>
      </c>
      <c r="I31" s="51" t="str">
        <f>VLOOKUP($G31,lut,3,FALSE)</f>
        <v>Jäger</v>
      </c>
      <c r="J31" s="72" t="str">
        <f>VLOOKUP($G31,lut,4,FALSE)</f>
        <v>Hauptweg 131, 6900 Bregenz, Österreich</v>
      </c>
      <c r="L31" s="48">
        <v>26</v>
      </c>
      <c r="M31" s="11" t="s">
        <v>77</v>
      </c>
      <c r="N31" s="11" t="s">
        <v>78</v>
      </c>
      <c r="O31" s="11" t="s">
        <v>79</v>
      </c>
    </row>
    <row r="32" spans="5:15">
      <c r="E32" s="32">
        <v>29</v>
      </c>
      <c r="F32" s="31">
        <f t="shared" ca="1" si="0"/>
        <v>884</v>
      </c>
      <c r="G32" s="33">
        <v>741</v>
      </c>
      <c r="H32" s="42" t="str">
        <f>VLOOKUP($G32,lut,2,FALSE)</f>
        <v>Benjamin</v>
      </c>
      <c r="I32" s="51" t="str">
        <f>VLOOKUP($G32,lut,3,FALSE)</f>
        <v>Fischer</v>
      </c>
      <c r="J32" s="72" t="str">
        <f>VLOOKUP($G32,lut,4,FALSE)</f>
        <v>Haydnring 122, Stg. 3, Tür 34, 1070 Wien, Österreich</v>
      </c>
      <c r="L32" s="48">
        <v>27</v>
      </c>
      <c r="M32" s="11" t="s">
        <v>71</v>
      </c>
      <c r="N32" s="11" t="s">
        <v>80</v>
      </c>
      <c r="O32" s="11" t="s">
        <v>81</v>
      </c>
    </row>
    <row r="33" spans="5:15">
      <c r="E33" s="32">
        <v>30</v>
      </c>
      <c r="F33" s="31">
        <f t="shared" ca="1" si="0"/>
        <v>756</v>
      </c>
      <c r="G33" s="33">
        <v>179</v>
      </c>
      <c r="H33" s="42" t="str">
        <f>VLOOKUP($G33,lut,2,FALSE)</f>
        <v>Mia</v>
      </c>
      <c r="I33" s="51" t="str">
        <f>VLOOKUP($G33,lut,3,FALSE)</f>
        <v>Richter</v>
      </c>
      <c r="J33" s="72" t="str">
        <f>VLOOKUP($G33,lut,4,FALSE)</f>
        <v>Mariahilferstraße 174, 2700 Wiener Neustadt, Österreich</v>
      </c>
      <c r="L33" s="48">
        <v>28</v>
      </c>
      <c r="M33" s="11" t="s">
        <v>82</v>
      </c>
      <c r="N33" s="11" t="s">
        <v>83</v>
      </c>
      <c r="O33" s="11" t="s">
        <v>84</v>
      </c>
    </row>
    <row r="34" spans="5:15">
      <c r="E34" s="32">
        <v>31</v>
      </c>
      <c r="F34" s="31">
        <f t="shared" ca="1" si="0"/>
        <v>407</v>
      </c>
      <c r="G34" s="33">
        <v>191</v>
      </c>
      <c r="H34" s="42" t="str">
        <f>VLOOKUP($G34,lut,2,FALSE)</f>
        <v>Helena</v>
      </c>
      <c r="I34" s="51" t="str">
        <f>VLOOKUP($G34,lut,3,FALSE)</f>
        <v>Stark</v>
      </c>
      <c r="J34" s="72" t="str">
        <f>VLOOKUP($G34,lut,4,FALSE)</f>
        <v>Kirchenallee 18, 3430 Tulln, Österreich</v>
      </c>
      <c r="L34" s="48">
        <v>29</v>
      </c>
      <c r="M34" s="11" t="s">
        <v>56</v>
      </c>
      <c r="N34" s="11" t="s">
        <v>85</v>
      </c>
      <c r="O34" s="11" t="s">
        <v>86</v>
      </c>
    </row>
    <row r="35" spans="5:15">
      <c r="E35" s="32">
        <v>32</v>
      </c>
      <c r="F35" s="31">
        <f t="shared" ca="1" si="0"/>
        <v>621</v>
      </c>
      <c r="G35" s="33">
        <v>67</v>
      </c>
      <c r="H35" s="42" t="str">
        <f>VLOOKUP($G35,lut,2,FALSE)</f>
        <v>Lisa</v>
      </c>
      <c r="I35" s="51" t="str">
        <f>VLOOKUP($G35,lut,3,FALSE)</f>
        <v>Stark</v>
      </c>
      <c r="J35" s="72" t="str">
        <f>VLOOKUP($G35,lut,4,FALSE)</f>
        <v>Waldstraße 35, Stg. 4, Tür 21, 1060 Wien, Österreich</v>
      </c>
      <c r="L35" s="48">
        <v>30</v>
      </c>
      <c r="M35" s="11" t="s">
        <v>87</v>
      </c>
      <c r="N35" s="11" t="s">
        <v>88</v>
      </c>
      <c r="O35" s="11" t="s">
        <v>89</v>
      </c>
    </row>
    <row r="36" spans="5:15">
      <c r="E36" s="32">
        <v>33</v>
      </c>
      <c r="F36" s="31">
        <f t="shared" ca="1" si="0"/>
        <v>448</v>
      </c>
      <c r="G36" s="33">
        <v>109</v>
      </c>
      <c r="H36" s="42" t="str">
        <f>VLOOKUP($G36,lut,2,FALSE)</f>
        <v>Moritz</v>
      </c>
      <c r="I36" s="51" t="str">
        <f>VLOOKUP($G36,lut,3,FALSE)</f>
        <v>Schreiner</v>
      </c>
      <c r="J36" s="72" t="str">
        <f>VLOOKUP($G36,lut,4,FALSE)</f>
        <v>Opernring 39, 3100 St. Pölten, Österreich</v>
      </c>
      <c r="L36" s="48">
        <v>31</v>
      </c>
      <c r="M36" s="11" t="s">
        <v>90</v>
      </c>
      <c r="N36" s="11" t="s">
        <v>36</v>
      </c>
      <c r="O36" s="11" t="s">
        <v>91</v>
      </c>
    </row>
    <row r="37" spans="5:15">
      <c r="E37" s="32">
        <v>34</v>
      </c>
      <c r="F37" s="31">
        <f t="shared" ca="1" si="0"/>
        <v>425</v>
      </c>
      <c r="G37" s="33">
        <v>315</v>
      </c>
      <c r="H37" s="42" t="str">
        <f>VLOOKUP($G37,lut,2,FALSE)</f>
        <v>Tobias</v>
      </c>
      <c r="I37" s="51" t="str">
        <f>VLOOKUP($G37,lut,3,FALSE)</f>
        <v>Dietrich</v>
      </c>
      <c r="J37" s="72" t="str">
        <f>VLOOKUP($G37,lut,4,FALSE)</f>
        <v>PromenadeMariahilferplatz 82A, 9020 Klagenfurt am Wörthersee, Österreich</v>
      </c>
      <c r="L37" s="48">
        <v>32</v>
      </c>
      <c r="M37" s="11" t="s">
        <v>47</v>
      </c>
      <c r="N37" s="11" t="s">
        <v>14</v>
      </c>
      <c r="O37" s="11" t="s">
        <v>92</v>
      </c>
    </row>
    <row r="38" spans="5:15">
      <c r="E38" s="32">
        <v>35</v>
      </c>
      <c r="F38" s="31">
        <f t="shared" ca="1" si="0"/>
        <v>480</v>
      </c>
      <c r="G38" s="33">
        <v>175</v>
      </c>
      <c r="H38" s="42" t="str">
        <f>VLOOKUP($G38,lut,2,FALSE)</f>
        <v>Philipp</v>
      </c>
      <c r="I38" s="51" t="str">
        <f>VLOOKUP($G38,lut,3,FALSE)</f>
        <v>Bauer</v>
      </c>
      <c r="J38" s="72" t="str">
        <f>VLOOKUP($G38,lut,4,FALSE)</f>
        <v>Universitätsring 80, 4600 Wels, Österreich</v>
      </c>
      <c r="L38" s="48">
        <v>33</v>
      </c>
      <c r="M38" s="11" t="s">
        <v>41</v>
      </c>
      <c r="N38" s="11" t="s">
        <v>93</v>
      </c>
      <c r="O38" s="11" t="s">
        <v>94</v>
      </c>
    </row>
    <row r="39" spans="5:15">
      <c r="E39" s="32">
        <v>36</v>
      </c>
      <c r="F39" s="31">
        <f t="shared" ca="1" si="0"/>
        <v>770</v>
      </c>
      <c r="G39" s="33">
        <v>6</v>
      </c>
      <c r="H39" s="42" t="str">
        <f>VLOOKUP($G39,lut,2,FALSE)</f>
        <v>Verena</v>
      </c>
      <c r="I39" s="51" t="str">
        <f>VLOOKUP($G39,lut,3,FALSE)</f>
        <v>Lindner</v>
      </c>
      <c r="J39" s="72" t="str">
        <f>VLOOKUP($G39,lut,4,FALSE)</f>
        <v>IndustrieBahnhofallee 12, 8010 Graz, Österreich</v>
      </c>
      <c r="L39" s="48">
        <v>34</v>
      </c>
      <c r="M39" s="11" t="s">
        <v>95</v>
      </c>
      <c r="N39" s="11" t="s">
        <v>96</v>
      </c>
      <c r="O39" s="11" t="s">
        <v>97</v>
      </c>
    </row>
    <row r="40" spans="5:15">
      <c r="E40" s="32">
        <v>37</v>
      </c>
      <c r="F40" s="31">
        <f t="shared" ca="1" si="0"/>
        <v>566</v>
      </c>
      <c r="G40" s="33">
        <v>241</v>
      </c>
      <c r="H40" s="42" t="str">
        <f>VLOOKUP($G40,lut,2,FALSE)</f>
        <v>Clara</v>
      </c>
      <c r="I40" s="51" t="str">
        <f>VLOOKUP($G40,lut,3,FALSE)</f>
        <v>Schwarz</v>
      </c>
      <c r="J40" s="72" t="str">
        <f>VLOOKUP($G40,lut,4,FALSE)</f>
        <v>Lindenkai 144, Stg. 6, Tür 38, 1050 Wien, Österreich</v>
      </c>
      <c r="L40" s="48">
        <v>35</v>
      </c>
      <c r="M40" s="11" t="s">
        <v>71</v>
      </c>
      <c r="N40" s="11" t="s">
        <v>98</v>
      </c>
      <c r="O40" s="11" t="s">
        <v>99</v>
      </c>
    </row>
    <row r="41" spans="5:15">
      <c r="E41" s="32">
        <v>38</v>
      </c>
      <c r="F41" s="31">
        <f t="shared" ca="1" si="0"/>
        <v>100</v>
      </c>
      <c r="G41" s="33">
        <v>152</v>
      </c>
      <c r="H41" s="42" t="str">
        <f>VLOOKUP($G41,lut,2,FALSE)</f>
        <v>Michael</v>
      </c>
      <c r="I41" s="51" t="str">
        <f>VLOOKUP($G41,lut,3,FALSE)</f>
        <v>Feldbauer</v>
      </c>
      <c r="J41" s="72" t="str">
        <f>VLOOKUP($G41,lut,4,FALSE)</f>
        <v>Waldallee 178, 1060 Wien, Österreich</v>
      </c>
      <c r="L41" s="48">
        <v>36</v>
      </c>
      <c r="M41" s="11" t="s">
        <v>82</v>
      </c>
      <c r="N41" s="11" t="s">
        <v>80</v>
      </c>
      <c r="O41" s="11" t="s">
        <v>100</v>
      </c>
    </row>
    <row r="42" spans="5:15">
      <c r="E42" s="32">
        <v>39</v>
      </c>
      <c r="F42" s="31">
        <f t="shared" ca="1" si="0"/>
        <v>419</v>
      </c>
      <c r="G42" s="33">
        <v>40</v>
      </c>
      <c r="H42" s="42" t="str">
        <f>VLOOKUP($G42,lut,2,FALSE)</f>
        <v>Julia</v>
      </c>
      <c r="I42" s="51" t="str">
        <f>VLOOKUP($G42,lut,3,FALSE)</f>
        <v>Weber</v>
      </c>
      <c r="J42" s="72" t="str">
        <f>VLOOKUP($G42,lut,4,FALSE)</f>
        <v>Mariahilferallee 144A, 6020 Innsbruck, Österreich</v>
      </c>
      <c r="L42" s="48">
        <v>37</v>
      </c>
      <c r="M42" s="11" t="s">
        <v>95</v>
      </c>
      <c r="N42" s="11" t="s">
        <v>33</v>
      </c>
      <c r="O42" s="11" t="s">
        <v>101</v>
      </c>
    </row>
    <row r="43" spans="5:15">
      <c r="E43" s="32">
        <v>40</v>
      </c>
      <c r="F43" s="31">
        <f t="shared" ca="1" si="0"/>
        <v>139</v>
      </c>
      <c r="G43" s="33">
        <v>124</v>
      </c>
      <c r="H43" s="42" t="str">
        <f>VLOOKUP($G43,lut,2,FALSE)</f>
        <v>Sarah</v>
      </c>
      <c r="I43" s="51" t="str">
        <f>VLOOKUP($G43,lut,3,FALSE)</f>
        <v>Jäger</v>
      </c>
      <c r="J43" s="72" t="str">
        <f>VLOOKUP($G43,lut,4,FALSE)</f>
        <v>Eichenallee 57, 4020 Linz, Österreich</v>
      </c>
      <c r="L43" s="48">
        <v>38</v>
      </c>
      <c r="M43" s="11" t="s">
        <v>50</v>
      </c>
      <c r="N43" s="11" t="s">
        <v>65</v>
      </c>
      <c r="O43" s="11" t="s">
        <v>102</v>
      </c>
    </row>
    <row r="44" spans="5:15">
      <c r="E44" s="32">
        <v>41</v>
      </c>
      <c r="F44" s="31">
        <f t="shared" ca="1" si="0"/>
        <v>691</v>
      </c>
      <c r="G44" s="33">
        <v>648</v>
      </c>
      <c r="H44" s="42" t="str">
        <f>VLOOKUP($G44,lut,2,FALSE)</f>
        <v>Carina</v>
      </c>
      <c r="I44" s="51" t="str">
        <f>VLOOKUP($G44,lut,3,FALSE)</f>
        <v>Richter</v>
      </c>
      <c r="J44" s="72" t="str">
        <f>VLOOKUP($G44,lut,4,FALSE)</f>
        <v>WiesenMariahilferstraße 163, 3300 Amstetten, Österreich</v>
      </c>
      <c r="L44" s="48">
        <v>39</v>
      </c>
      <c r="M44" s="11" t="s">
        <v>87</v>
      </c>
      <c r="N44" s="11" t="s">
        <v>17</v>
      </c>
      <c r="O44" s="11" t="s">
        <v>103</v>
      </c>
    </row>
    <row r="45" spans="5:15">
      <c r="E45" s="32">
        <v>42</v>
      </c>
      <c r="F45" s="31">
        <f t="shared" ca="1" si="0"/>
        <v>30</v>
      </c>
      <c r="G45" s="33">
        <v>124</v>
      </c>
      <c r="H45" s="42" t="str">
        <f>VLOOKUP($G45,lut,2,FALSE)</f>
        <v>Sarah</v>
      </c>
      <c r="I45" s="51" t="str">
        <f>VLOOKUP($G45,lut,3,FALSE)</f>
        <v>Jäger</v>
      </c>
      <c r="J45" s="72" t="str">
        <f>VLOOKUP($G45,lut,4,FALSE)</f>
        <v>Eichenallee 57, 4020 Linz, Österreich</v>
      </c>
      <c r="L45" s="48">
        <v>40</v>
      </c>
      <c r="M45" s="11" t="s">
        <v>44</v>
      </c>
      <c r="N45" s="11" t="s">
        <v>36</v>
      </c>
      <c r="O45" s="11" t="s">
        <v>104</v>
      </c>
    </row>
    <row r="46" spans="5:15">
      <c r="E46" s="32">
        <v>43</v>
      </c>
      <c r="F46" s="31">
        <f t="shared" ca="1" si="0"/>
        <v>973</v>
      </c>
      <c r="G46" s="33">
        <v>633</v>
      </c>
      <c r="H46" s="42" t="str">
        <f>VLOOKUP($G46,lut,2,FALSE)</f>
        <v>Eva</v>
      </c>
      <c r="I46" s="51" t="str">
        <f>VLOOKUP($G46,lut,3,FALSE)</f>
        <v>Bauer</v>
      </c>
      <c r="J46" s="72" t="str">
        <f>VLOOKUP($G46,lut,4,FALSE)</f>
        <v>BirkenDöblingerring 176, 1050 Wien, Österreich</v>
      </c>
      <c r="L46" s="48">
        <v>41</v>
      </c>
      <c r="M46" s="11" t="s">
        <v>16</v>
      </c>
      <c r="N46" s="11" t="s">
        <v>105</v>
      </c>
      <c r="O46" s="11" t="s">
        <v>106</v>
      </c>
    </row>
    <row r="47" spans="5:15">
      <c r="E47" s="32">
        <v>44</v>
      </c>
      <c r="F47" s="31">
        <f t="shared" ca="1" si="0"/>
        <v>52</v>
      </c>
      <c r="G47" s="33">
        <v>322</v>
      </c>
      <c r="H47" s="42" t="str">
        <f>VLOOKUP($G47,lut,2,FALSE)</f>
        <v>Noah</v>
      </c>
      <c r="I47" s="51" t="str">
        <f>VLOOKUP($G47,lut,3,FALSE)</f>
        <v>Reiter</v>
      </c>
      <c r="J47" s="72" t="str">
        <f>VLOOKUP($G47,lut,4,FALSE)</f>
        <v>Feldallee 153D, Stg. 6, Tür 35, 2500 Baden, Österreich</v>
      </c>
      <c r="L47" s="48">
        <v>42</v>
      </c>
      <c r="M47" s="11" t="s">
        <v>107</v>
      </c>
      <c r="N47" s="11" t="s">
        <v>108</v>
      </c>
      <c r="O47" s="11" t="s">
        <v>109</v>
      </c>
    </row>
    <row r="48" spans="5:15">
      <c r="E48" s="32">
        <v>45</v>
      </c>
      <c r="F48" s="31">
        <f t="shared" ca="1" si="0"/>
        <v>7</v>
      </c>
      <c r="G48" s="33">
        <v>74</v>
      </c>
      <c r="H48" s="42" t="str">
        <f>VLOOKUP($G48,lut,2,FALSE)</f>
        <v>Alexander</v>
      </c>
      <c r="I48" s="51" t="str">
        <f>VLOOKUP($G48,lut,3,FALSE)</f>
        <v>Koch</v>
      </c>
      <c r="J48" s="72" t="str">
        <f>VLOOKUP($G48,lut,4,FALSE)</f>
        <v>Wiesenkai 11, 2500 Baden, Österreich</v>
      </c>
      <c r="L48" s="48">
        <v>43</v>
      </c>
      <c r="M48" s="11" t="s">
        <v>110</v>
      </c>
      <c r="N48" s="11" t="s">
        <v>111</v>
      </c>
      <c r="O48" s="11" t="s">
        <v>112</v>
      </c>
    </row>
    <row r="49" spans="5:15">
      <c r="E49" s="32">
        <v>46</v>
      </c>
      <c r="F49" s="31">
        <f t="shared" ca="1" si="0"/>
        <v>879</v>
      </c>
      <c r="G49" s="33">
        <v>380</v>
      </c>
      <c r="H49" s="42" t="str">
        <f>VLOOKUP($G49,lut,2,FALSE)</f>
        <v>Marie</v>
      </c>
      <c r="I49" s="51" t="str">
        <f>VLOOKUP($G49,lut,3,FALSE)</f>
        <v>Lindner</v>
      </c>
      <c r="J49" s="72" t="str">
        <f>VLOOKUP($G49,lut,4,FALSE)</f>
        <v>KreuzHauptallee 128, 3430 Tulln, Österreich</v>
      </c>
      <c r="L49" s="48">
        <v>44</v>
      </c>
      <c r="M49" s="11" t="s">
        <v>19</v>
      </c>
      <c r="N49" s="11" t="s">
        <v>33</v>
      </c>
      <c r="O49" s="11" t="s">
        <v>113</v>
      </c>
    </row>
    <row r="50" spans="5:15">
      <c r="E50" s="32">
        <v>47</v>
      </c>
      <c r="F50" s="31">
        <f t="shared" ca="1" si="0"/>
        <v>592</v>
      </c>
      <c r="G50" s="33">
        <v>565</v>
      </c>
      <c r="H50" s="42" t="str">
        <f>VLOOKUP($G50,lut,2,FALSE)</f>
        <v>Noah</v>
      </c>
      <c r="I50" s="51" t="str">
        <f>VLOOKUP($G50,lut,3,FALSE)</f>
        <v>Jäger</v>
      </c>
      <c r="J50" s="72" t="str">
        <f>VLOOKUP($G50,lut,4,FALSE)</f>
        <v>Hauptweg 131, 6900 Bregenz, Österreich</v>
      </c>
      <c r="L50" s="48">
        <v>45</v>
      </c>
      <c r="M50" s="11" t="s">
        <v>56</v>
      </c>
      <c r="N50" s="11" t="s">
        <v>108</v>
      </c>
      <c r="O50" s="11" t="s">
        <v>114</v>
      </c>
    </row>
    <row r="51" spans="5:15">
      <c r="E51" s="32">
        <v>48</v>
      </c>
      <c r="F51" s="31">
        <f t="shared" ca="1" si="0"/>
        <v>252</v>
      </c>
      <c r="G51" s="33">
        <v>590</v>
      </c>
      <c r="H51" s="42" t="str">
        <f>VLOOKUP($G51,lut,2,FALSE)</f>
        <v>Maximilian</v>
      </c>
      <c r="I51" s="51" t="str">
        <f>VLOOKUP($G51,lut,3,FALSE)</f>
        <v>Klein</v>
      </c>
      <c r="J51" s="72" t="str">
        <f>VLOOKUP($G51,lut,4,FALSE)</f>
        <v>Gartenstraße 40, Stg. 4, Tür 15, 9020 Klagenfurt am Wörthersee, Österreich</v>
      </c>
      <c r="L51" s="48">
        <v>46</v>
      </c>
      <c r="M51" s="11" t="s">
        <v>71</v>
      </c>
      <c r="N51" s="11" t="s">
        <v>39</v>
      </c>
      <c r="O51" s="11" t="s">
        <v>115</v>
      </c>
    </row>
    <row r="52" spans="5:15">
      <c r="E52" s="32">
        <v>49</v>
      </c>
      <c r="F52" s="31">
        <f t="shared" ca="1" si="0"/>
        <v>400</v>
      </c>
      <c r="G52" s="33">
        <v>897</v>
      </c>
      <c r="H52" s="42" t="str">
        <f>VLOOKUP($G52,lut,2,FALSE)</f>
        <v>Raphael</v>
      </c>
      <c r="I52" s="51" t="str">
        <f>VLOOKUP($G52,lut,3,FALSE)</f>
        <v>Dietrich</v>
      </c>
      <c r="J52" s="72" t="str">
        <f>VLOOKUP($G52,lut,4,FALSE)</f>
        <v>Waldkai 63, 3500 Krems an der Donau, Österreich</v>
      </c>
      <c r="L52" s="48">
        <v>47</v>
      </c>
      <c r="M52" s="11" t="s">
        <v>116</v>
      </c>
      <c r="N52" s="11" t="s">
        <v>14</v>
      </c>
      <c r="O52" s="11" t="s">
        <v>117</v>
      </c>
    </row>
    <row r="53" spans="5:15">
      <c r="E53" s="32">
        <v>50</v>
      </c>
      <c r="F53" s="31">
        <f t="shared" ca="1" si="0"/>
        <v>132</v>
      </c>
      <c r="G53" s="33">
        <v>702</v>
      </c>
      <c r="H53" s="42" t="str">
        <f>VLOOKUP($G53,lut,2,FALSE)</f>
        <v>Felix</v>
      </c>
      <c r="I53" s="51" t="str">
        <f>VLOOKUP($G53,lut,3,FALSE)</f>
        <v>Richter</v>
      </c>
      <c r="J53" s="72" t="str">
        <f>VLOOKUP($G53,lut,4,FALSE)</f>
        <v>Favoritenkai 72, 1030 Wien, Österreich</v>
      </c>
      <c r="L53" s="48">
        <v>48</v>
      </c>
      <c r="M53" s="11" t="s">
        <v>118</v>
      </c>
      <c r="N53" s="11" t="s">
        <v>75</v>
      </c>
      <c r="O53" s="11" t="s">
        <v>119</v>
      </c>
    </row>
    <row r="54" spans="5:15">
      <c r="E54" s="32">
        <v>51</v>
      </c>
      <c r="F54" s="31">
        <f t="shared" ca="1" si="0"/>
        <v>833</v>
      </c>
      <c r="G54" s="33">
        <v>781</v>
      </c>
      <c r="H54" s="42" t="str">
        <f>VLOOKUP($G54,lut,2,FALSE)</f>
        <v>Philipp</v>
      </c>
      <c r="I54" s="51" t="str">
        <f>VLOOKUP($G54,lut,3,FALSE)</f>
        <v>Lindner</v>
      </c>
      <c r="J54" s="72" t="str">
        <f>VLOOKUP($G54,lut,4,FALSE)</f>
        <v>Eichenplatz 84F, 1070 Wien, Österreich</v>
      </c>
      <c r="L54" s="48">
        <v>49</v>
      </c>
      <c r="M54" s="11" t="s">
        <v>90</v>
      </c>
      <c r="N54" s="11" t="s">
        <v>98</v>
      </c>
      <c r="O54" s="11" t="s">
        <v>120</v>
      </c>
    </row>
    <row r="55" spans="5:15">
      <c r="E55" s="32">
        <v>52</v>
      </c>
      <c r="F55" s="31">
        <f t="shared" ca="1" si="0"/>
        <v>804</v>
      </c>
      <c r="G55" s="33">
        <v>219</v>
      </c>
      <c r="H55" s="42" t="str">
        <f>VLOOKUP($G55,lut,2,FALSE)</f>
        <v>Lea</v>
      </c>
      <c r="I55" s="51" t="str">
        <f>VLOOKUP($G55,lut,3,FALSE)</f>
        <v>Haas</v>
      </c>
      <c r="J55" s="72" t="str">
        <f>VLOOKUP($G55,lut,4,FALSE)</f>
        <v>Sonnenkai 144B, Stg. 4, Tür 16, 2700 Wiener Neustadt, Österreich</v>
      </c>
      <c r="L55" s="48">
        <v>50</v>
      </c>
      <c r="M55" s="11" t="s">
        <v>121</v>
      </c>
      <c r="N55" s="11" t="s">
        <v>122</v>
      </c>
      <c r="O55" s="11" t="s">
        <v>123</v>
      </c>
    </row>
    <row r="56" spans="5:15">
      <c r="E56" s="32">
        <v>53</v>
      </c>
      <c r="F56" s="31">
        <f t="shared" ca="1" si="0"/>
        <v>600</v>
      </c>
      <c r="G56" s="33">
        <v>434</v>
      </c>
      <c r="H56" s="42" t="str">
        <f>VLOOKUP($G56,lut,2,FALSE)</f>
        <v>Moritz</v>
      </c>
      <c r="I56" s="51" t="str">
        <f>VLOOKUP($G56,lut,3,FALSE)</f>
        <v>Weber</v>
      </c>
      <c r="J56" s="72" t="str">
        <f>VLOOKUP($G56,lut,4,FALSE)</f>
        <v>Seestadtgasse 121C, 6900 Bregenz, Österreich</v>
      </c>
      <c r="L56" s="48">
        <v>51</v>
      </c>
      <c r="M56" s="11" t="s">
        <v>124</v>
      </c>
      <c r="N56" s="11" t="s">
        <v>125</v>
      </c>
      <c r="O56" s="11" t="s">
        <v>126</v>
      </c>
    </row>
    <row r="57" spans="5:15">
      <c r="E57" s="32">
        <v>54</v>
      </c>
      <c r="F57" s="31">
        <f t="shared" ca="1" si="0"/>
        <v>25</v>
      </c>
      <c r="G57" s="33">
        <v>854</v>
      </c>
      <c r="H57" s="42" t="str">
        <f>VLOOKUP($G57,lut,2,FALSE)</f>
        <v>Melanie</v>
      </c>
      <c r="I57" s="51" t="str">
        <f>VLOOKUP($G57,lut,3,FALSE)</f>
        <v>Richter</v>
      </c>
      <c r="J57" s="72" t="str">
        <f>VLOOKUP($G57,lut,4,FALSE)</f>
        <v>Seestadtring 178A, 4600 Wels, Österreich</v>
      </c>
      <c r="L57" s="48">
        <v>52</v>
      </c>
      <c r="M57" s="11" t="s">
        <v>95</v>
      </c>
      <c r="N57" s="11" t="s">
        <v>127</v>
      </c>
      <c r="O57" s="11" t="s">
        <v>128</v>
      </c>
    </row>
    <row r="58" spans="5:15">
      <c r="E58" s="32">
        <v>55</v>
      </c>
      <c r="F58" s="31">
        <f t="shared" ca="1" si="0"/>
        <v>259</v>
      </c>
      <c r="G58" s="33">
        <v>413</v>
      </c>
      <c r="H58" s="42" t="str">
        <f>VLOOKUP($G58,lut,2,FALSE)</f>
        <v>Anna</v>
      </c>
      <c r="I58" s="51" t="str">
        <f>VLOOKUP($G58,lut,3,FALSE)</f>
        <v>Nowak</v>
      </c>
      <c r="J58" s="72" t="str">
        <f>VLOOKUP($G58,lut,4,FALSE)</f>
        <v>Kreuzallee 108B, 1050 Wien, Österreich</v>
      </c>
      <c r="L58" s="48">
        <v>53</v>
      </c>
      <c r="M58" s="11" t="s">
        <v>118</v>
      </c>
      <c r="N58" s="11" t="s">
        <v>96</v>
      </c>
      <c r="O58" s="11" t="s">
        <v>129</v>
      </c>
    </row>
    <row r="59" spans="5:15">
      <c r="E59" s="32">
        <v>56</v>
      </c>
      <c r="F59" s="31">
        <f t="shared" ca="1" si="0"/>
        <v>43</v>
      </c>
      <c r="G59" s="33">
        <v>969</v>
      </c>
      <c r="H59" s="42" t="str">
        <f>VLOOKUP($G59,lut,2,FALSE)</f>
        <v>Nora</v>
      </c>
      <c r="I59" s="51" t="str">
        <f>VLOOKUP($G59,lut,3,FALSE)</f>
        <v>Maier</v>
      </c>
      <c r="J59" s="72" t="str">
        <f>VLOOKUP($G59,lut,4,FALSE)</f>
        <v>Brucknerstraße 51C, 1030 Wien, Österreich</v>
      </c>
      <c r="L59" s="48">
        <v>54</v>
      </c>
      <c r="M59" s="11" t="s">
        <v>130</v>
      </c>
      <c r="N59" s="11" t="s">
        <v>17</v>
      </c>
      <c r="O59" s="11" t="s">
        <v>131</v>
      </c>
    </row>
    <row r="60" spans="5:15">
      <c r="E60" s="32">
        <v>57</v>
      </c>
      <c r="F60" s="31">
        <f t="shared" ca="1" si="0"/>
        <v>803</v>
      </c>
      <c r="G60" s="33">
        <v>494</v>
      </c>
      <c r="H60" s="42" t="str">
        <f>VLOOKUP($G60,lut,2,FALSE)</f>
        <v>Magdalena</v>
      </c>
      <c r="I60" s="51" t="str">
        <f>VLOOKUP($G60,lut,3,FALSE)</f>
        <v>Hofmann</v>
      </c>
      <c r="J60" s="72" t="str">
        <f>VLOOKUP($G60,lut,4,FALSE)</f>
        <v>Augartenstraße 167, Stg. 1, Tür 11, 3300 Amstetten, Österreich</v>
      </c>
      <c r="L60" s="48">
        <v>55</v>
      </c>
      <c r="M60" s="11" t="s">
        <v>95</v>
      </c>
      <c r="N60" s="11" t="s">
        <v>20</v>
      </c>
      <c r="O60" s="11" t="s">
        <v>132</v>
      </c>
    </row>
    <row r="61" spans="5:15">
      <c r="E61" s="32">
        <v>58</v>
      </c>
      <c r="F61" s="31">
        <f t="shared" ca="1" si="0"/>
        <v>494</v>
      </c>
      <c r="G61" s="33">
        <v>930</v>
      </c>
      <c r="H61" s="42" t="str">
        <f>VLOOKUP($G61,lut,2,FALSE)</f>
        <v>Philipp</v>
      </c>
      <c r="I61" s="51" t="str">
        <f>VLOOKUP($G61,lut,3,FALSE)</f>
        <v>Koller</v>
      </c>
      <c r="J61" s="72" t="str">
        <f>VLOOKUP($G61,lut,4,FALSE)</f>
        <v>Opernplatz 113, 3100 St. Pölten, Österreich</v>
      </c>
      <c r="L61" s="48">
        <v>56</v>
      </c>
      <c r="M61" s="11" t="s">
        <v>133</v>
      </c>
      <c r="N61" s="11" t="s">
        <v>42</v>
      </c>
      <c r="O61" s="11" t="s">
        <v>134</v>
      </c>
    </row>
    <row r="62" spans="5:15">
      <c r="E62" s="32">
        <v>59</v>
      </c>
      <c r="F62" s="31">
        <f t="shared" ca="1" si="0"/>
        <v>1</v>
      </c>
      <c r="G62" s="33">
        <v>809</v>
      </c>
      <c r="H62" s="42" t="str">
        <f>VLOOKUP($G62,lut,2,FALSE)</f>
        <v>Sophie</v>
      </c>
      <c r="I62" s="51" t="str">
        <f>VLOOKUP($G62,lut,3,FALSE)</f>
        <v>Schmid</v>
      </c>
      <c r="J62" s="72" t="str">
        <f>VLOOKUP($G62,lut,4,FALSE)</f>
        <v>Promenadeplatz 132, 1040 Wien, Österreich</v>
      </c>
      <c r="L62" s="48">
        <v>57</v>
      </c>
      <c r="M62" s="11" t="s">
        <v>38</v>
      </c>
      <c r="N62" s="11" t="s">
        <v>135</v>
      </c>
      <c r="O62" s="11" t="s">
        <v>136</v>
      </c>
    </row>
    <row r="63" spans="5:15">
      <c r="E63" s="32">
        <v>60</v>
      </c>
      <c r="F63" s="31">
        <f t="shared" ca="1" si="0"/>
        <v>429</v>
      </c>
      <c r="G63" s="33">
        <v>89</v>
      </c>
      <c r="H63" s="42" t="str">
        <f>VLOOKUP($G63,lut,2,FALSE)</f>
        <v>Alexander</v>
      </c>
      <c r="I63" s="51" t="str">
        <f>VLOOKUP($G63,lut,3,FALSE)</f>
        <v>Mayer</v>
      </c>
      <c r="J63" s="72" t="str">
        <f>VLOOKUP($G63,lut,4,FALSE)</f>
        <v>Feldgasse 78B, 1040 Wien, Österreich</v>
      </c>
      <c r="L63" s="48">
        <v>58</v>
      </c>
      <c r="M63" s="11" t="s">
        <v>56</v>
      </c>
      <c r="N63" s="11" t="s">
        <v>33</v>
      </c>
      <c r="O63" s="11" t="s">
        <v>137</v>
      </c>
    </row>
    <row r="64" spans="5:15">
      <c r="E64" s="32">
        <v>61</v>
      </c>
      <c r="F64" s="31">
        <f t="shared" ca="1" si="0"/>
        <v>463</v>
      </c>
      <c r="G64" s="33">
        <v>176</v>
      </c>
      <c r="H64" s="42" t="str">
        <f>VLOOKUP($G64,lut,2,FALSE)</f>
        <v>Lena</v>
      </c>
      <c r="I64" s="51" t="str">
        <f>VLOOKUP($G64,lut,3,FALSE)</f>
        <v>Stark</v>
      </c>
      <c r="J64" s="72" t="str">
        <f>VLOOKUP($G64,lut,4,FALSE)</f>
        <v>Favoritenstraße 109, 1010 Wien, Österreich</v>
      </c>
      <c r="L64" s="48">
        <v>59</v>
      </c>
      <c r="M64" s="11" t="s">
        <v>64</v>
      </c>
      <c r="N64" s="11" t="s">
        <v>138</v>
      </c>
      <c r="O64" s="11" t="s">
        <v>139</v>
      </c>
    </row>
    <row r="65" spans="5:15">
      <c r="E65" s="32">
        <v>62</v>
      </c>
      <c r="F65" s="31">
        <f t="shared" ca="1" si="0"/>
        <v>57</v>
      </c>
      <c r="G65" s="33">
        <v>561</v>
      </c>
      <c r="H65" s="42" t="str">
        <f>VLOOKUP($G65,lut,2,FALSE)</f>
        <v>Theresa</v>
      </c>
      <c r="I65" s="51" t="str">
        <f>VLOOKUP($G65,lut,3,FALSE)</f>
        <v>Kaiser</v>
      </c>
      <c r="J65" s="72" t="str">
        <f>VLOOKUP($G65,lut,4,FALSE)</f>
        <v>Sonnenkai 137, 9020 Klagenfurt am Wörthersee, Österreich</v>
      </c>
      <c r="L65" s="48">
        <v>60</v>
      </c>
      <c r="M65" s="11" t="s">
        <v>13</v>
      </c>
      <c r="N65" s="11" t="s">
        <v>23</v>
      </c>
      <c r="O65" s="11" t="s">
        <v>140</v>
      </c>
    </row>
    <row r="66" spans="5:15">
      <c r="E66" s="32">
        <v>63</v>
      </c>
      <c r="F66" s="31">
        <f t="shared" ca="1" si="0"/>
        <v>759</v>
      </c>
      <c r="G66" s="33">
        <v>912</v>
      </c>
      <c r="H66" s="42" t="str">
        <f>VLOOKUP($G66,lut,2,FALSE)</f>
        <v>Magdalena</v>
      </c>
      <c r="I66" s="51" t="str">
        <f>VLOOKUP($G66,lut,3,FALSE)</f>
        <v>Kaiser</v>
      </c>
      <c r="J66" s="72" t="str">
        <f>VLOOKUP($G66,lut,4,FALSE)</f>
        <v>Schlossgasse 86, 1040 Wien, Österreich</v>
      </c>
      <c r="L66" s="48">
        <v>61</v>
      </c>
      <c r="M66" s="11" t="s">
        <v>141</v>
      </c>
      <c r="N66" s="11" t="s">
        <v>142</v>
      </c>
      <c r="O66" s="11" t="s">
        <v>143</v>
      </c>
    </row>
    <row r="67" spans="5:15">
      <c r="E67" s="32">
        <v>64</v>
      </c>
      <c r="F67" s="31">
        <f t="shared" ca="1" si="0"/>
        <v>19</v>
      </c>
      <c r="G67" s="33">
        <v>24</v>
      </c>
      <c r="H67" s="42" t="str">
        <f>VLOOKUP($G67,lut,2,FALSE)</f>
        <v>Lisa</v>
      </c>
      <c r="I67" s="51" t="str">
        <f>VLOOKUP($G67,lut,3,FALSE)</f>
        <v>Maierhofer</v>
      </c>
      <c r="J67" s="72" t="str">
        <f>VLOOKUP($G67,lut,4,FALSE)</f>
        <v>Pratergasse 105, 1040 Wien, Österreich</v>
      </c>
      <c r="L67" s="48">
        <v>62</v>
      </c>
      <c r="M67" s="11" t="s">
        <v>71</v>
      </c>
      <c r="N67" s="11" t="s">
        <v>83</v>
      </c>
      <c r="O67" s="11" t="s">
        <v>144</v>
      </c>
    </row>
    <row r="68" spans="5:15">
      <c r="E68" s="32">
        <v>65</v>
      </c>
      <c r="F68" s="31">
        <f t="shared" ca="1" si="0"/>
        <v>270</v>
      </c>
      <c r="G68" s="33">
        <v>165</v>
      </c>
      <c r="H68" s="42" t="str">
        <f>VLOOKUP($G68,lut,2,FALSE)</f>
        <v>Jonas</v>
      </c>
      <c r="I68" s="51" t="str">
        <f>VLOOKUP($G68,lut,3,FALSE)</f>
        <v>Moser</v>
      </c>
      <c r="J68" s="72" t="str">
        <f>VLOOKUP($G68,lut,4,FALSE)</f>
        <v>FeldUniversitätsweg 40, Stg. 6, Tür 32, 4600 Wels, Österreich</v>
      </c>
      <c r="L68" s="48">
        <v>63</v>
      </c>
      <c r="M68" s="11" t="s">
        <v>69</v>
      </c>
      <c r="N68" s="11" t="s">
        <v>145</v>
      </c>
      <c r="O68" s="11" t="s">
        <v>146</v>
      </c>
    </row>
    <row r="69" spans="5:15">
      <c r="E69" s="32">
        <v>66</v>
      </c>
      <c r="F69" s="31">
        <f t="shared" ref="F69:G132" ca="1" si="1">RANDBETWEEN(1,1000)</f>
        <v>208</v>
      </c>
      <c r="G69" s="33">
        <v>784</v>
      </c>
      <c r="H69" s="42" t="str">
        <f>VLOOKUP($G69,lut,2,FALSE)</f>
        <v>Felix</v>
      </c>
      <c r="I69" s="51" t="str">
        <f>VLOOKUP($G69,lut,3,FALSE)</f>
        <v>König</v>
      </c>
      <c r="J69" s="72" t="str">
        <f>VLOOKUP($G69,lut,4,FALSE)</f>
        <v>Brucknerweg 4, 2100 Korneuburg, Österreich</v>
      </c>
      <c r="L69" s="48">
        <v>64</v>
      </c>
      <c r="M69" s="11" t="s">
        <v>95</v>
      </c>
      <c r="N69" s="11" t="s">
        <v>147</v>
      </c>
      <c r="O69" s="11" t="s">
        <v>148</v>
      </c>
    </row>
    <row r="70" spans="5:15">
      <c r="E70" s="32">
        <v>67</v>
      </c>
      <c r="F70" s="31">
        <f t="shared" ca="1" si="1"/>
        <v>704</v>
      </c>
      <c r="G70" s="33">
        <v>75</v>
      </c>
      <c r="H70" s="42" t="str">
        <f>VLOOKUP($G70,lut,2,FALSE)</f>
        <v>Laura</v>
      </c>
      <c r="I70" s="51" t="str">
        <f>VLOOKUP($G70,lut,3,FALSE)</f>
        <v>Zimmermann</v>
      </c>
      <c r="J70" s="72" t="str">
        <f>VLOOKUP($G70,lut,4,FALSE)</f>
        <v>Alleestraße 126C, 4600 Wels, Österreich</v>
      </c>
      <c r="L70" s="48">
        <v>65</v>
      </c>
      <c r="M70" s="11" t="s">
        <v>50</v>
      </c>
      <c r="N70" s="11" t="s">
        <v>20</v>
      </c>
      <c r="O70" s="11" t="s">
        <v>149</v>
      </c>
    </row>
    <row r="71" spans="5:15">
      <c r="E71" s="32">
        <v>68</v>
      </c>
      <c r="F71" s="31">
        <f t="shared" ca="1" si="1"/>
        <v>722</v>
      </c>
      <c r="G71" s="33">
        <v>785</v>
      </c>
      <c r="H71" s="42" t="str">
        <f>VLOOKUP($G71,lut,2,FALSE)</f>
        <v>Johanna</v>
      </c>
      <c r="I71" s="51" t="str">
        <f>VLOOKUP($G71,lut,3,FALSE)</f>
        <v>Feldbauer</v>
      </c>
      <c r="J71" s="72" t="str">
        <f>VLOOKUP($G71,lut,4,FALSE)</f>
        <v>Kirchengasse 114, 2500 Baden, Österreich</v>
      </c>
      <c r="L71" s="48">
        <v>66</v>
      </c>
      <c r="M71" s="11" t="s">
        <v>47</v>
      </c>
      <c r="N71" s="11" t="s">
        <v>122</v>
      </c>
      <c r="O71" s="11" t="s">
        <v>150</v>
      </c>
    </row>
    <row r="72" spans="5:15">
      <c r="E72" s="32">
        <v>69</v>
      </c>
      <c r="F72" s="31">
        <f t="shared" ca="1" si="1"/>
        <v>834</v>
      </c>
      <c r="G72" s="33">
        <v>589</v>
      </c>
      <c r="H72" s="42" t="str">
        <f>VLOOKUP($G72,lut,2,FALSE)</f>
        <v>Marie</v>
      </c>
      <c r="I72" s="51" t="str">
        <f>VLOOKUP($G72,lut,3,FALSE)</f>
        <v>Schreiner</v>
      </c>
      <c r="J72" s="72" t="str">
        <f>VLOOKUP($G72,lut,4,FALSE)</f>
        <v>Praterring 96, Stg. 1, Tür 40, 1080 Wien, Österreich</v>
      </c>
      <c r="L72" s="48">
        <v>67</v>
      </c>
      <c r="M72" s="11" t="s">
        <v>41</v>
      </c>
      <c r="N72" s="11" t="s">
        <v>33</v>
      </c>
      <c r="O72" s="11" t="s">
        <v>151</v>
      </c>
    </row>
    <row r="73" spans="5:15">
      <c r="E73" s="32">
        <v>70</v>
      </c>
      <c r="F73" s="31">
        <f t="shared" ca="1" si="1"/>
        <v>911</v>
      </c>
      <c r="G73" s="33">
        <v>198</v>
      </c>
      <c r="H73" s="42" t="str">
        <f>VLOOKUP($G73,lut,2,FALSE)</f>
        <v>Nina</v>
      </c>
      <c r="I73" s="51" t="str">
        <f>VLOOKUP($G73,lut,3,FALSE)</f>
        <v>Winkler</v>
      </c>
      <c r="J73" s="72" t="str">
        <f>VLOOKUP($G73,lut,4,FALSE)</f>
        <v>Ahornplatz 95, 3300 Amstetten, Österreich</v>
      </c>
      <c r="L73" s="48">
        <v>68</v>
      </c>
      <c r="M73" s="11" t="s">
        <v>32</v>
      </c>
      <c r="N73" s="11" t="s">
        <v>96</v>
      </c>
      <c r="O73" s="11" t="s">
        <v>152</v>
      </c>
    </row>
    <row r="74" spans="5:15">
      <c r="E74" s="32">
        <v>71</v>
      </c>
      <c r="F74" s="31">
        <f t="shared" ca="1" si="1"/>
        <v>851</v>
      </c>
      <c r="G74" s="33">
        <v>576</v>
      </c>
      <c r="H74" s="42" t="str">
        <f>VLOOKUP($G74,lut,2,FALSE)</f>
        <v>Theresa</v>
      </c>
      <c r="I74" s="51" t="str">
        <f>VLOOKUP($G74,lut,3,FALSE)</f>
        <v>Koller</v>
      </c>
      <c r="J74" s="72" t="str">
        <f>VLOOKUP($G74,lut,4,FALSE)</f>
        <v>FeldFavoritenweg 35, 3100 St. Pölten, Österreich</v>
      </c>
      <c r="L74" s="48">
        <v>69</v>
      </c>
      <c r="M74" s="11" t="s">
        <v>30</v>
      </c>
      <c r="N74" s="11" t="s">
        <v>153</v>
      </c>
      <c r="O74" s="11" t="s">
        <v>154</v>
      </c>
    </row>
    <row r="75" spans="5:15">
      <c r="E75" s="32">
        <v>72</v>
      </c>
      <c r="F75" s="31">
        <f t="shared" ca="1" si="1"/>
        <v>380</v>
      </c>
      <c r="G75" s="33">
        <v>963</v>
      </c>
      <c r="H75" s="42" t="str">
        <f>VLOOKUP($G75,lut,2,FALSE)</f>
        <v>Jakob</v>
      </c>
      <c r="I75" s="51" t="str">
        <f>VLOOKUP($G75,lut,3,FALSE)</f>
        <v>Berger</v>
      </c>
      <c r="J75" s="72" t="str">
        <f>VLOOKUP($G75,lut,4,FALSE)</f>
        <v>Rathausallee 142, 6900 Bregenz, Österreich</v>
      </c>
      <c r="L75" s="48">
        <v>70</v>
      </c>
      <c r="M75" s="11" t="s">
        <v>67</v>
      </c>
      <c r="N75" s="11" t="s">
        <v>105</v>
      </c>
      <c r="O75" s="11" t="s">
        <v>155</v>
      </c>
    </row>
    <row r="76" spans="5:15">
      <c r="E76" s="32">
        <v>73</v>
      </c>
      <c r="F76" s="31">
        <f t="shared" ca="1" si="1"/>
        <v>327</v>
      </c>
      <c r="G76" s="33">
        <v>131</v>
      </c>
      <c r="H76" s="42" t="str">
        <f>VLOOKUP($G76,lut,2,FALSE)</f>
        <v>Sophie</v>
      </c>
      <c r="I76" s="51" t="str">
        <f>VLOOKUP($G76,lut,3,FALSE)</f>
        <v>Langer</v>
      </c>
      <c r="J76" s="72" t="str">
        <f>VLOOKUP($G76,lut,4,FALSE)</f>
        <v>EichenSeestadtplatz 84, 1080 Wien, Österreich</v>
      </c>
      <c r="L76" s="48">
        <v>71</v>
      </c>
      <c r="M76" s="11" t="s">
        <v>41</v>
      </c>
      <c r="N76" s="11" t="s">
        <v>65</v>
      </c>
      <c r="O76" s="11" t="s">
        <v>156</v>
      </c>
    </row>
    <row r="77" spans="5:15">
      <c r="E77" s="32">
        <v>74</v>
      </c>
      <c r="F77" s="31">
        <f t="shared" ca="1" si="1"/>
        <v>399</v>
      </c>
      <c r="G77" s="33">
        <v>984</v>
      </c>
      <c r="H77" s="42" t="str">
        <f>VLOOKUP($G77,lut,2,FALSE)</f>
        <v>Elias</v>
      </c>
      <c r="I77" s="51" t="str">
        <f>VLOOKUP($G77,lut,3,FALSE)</f>
        <v>Leitner</v>
      </c>
      <c r="J77" s="72" t="str">
        <f>VLOOKUP($G77,lut,4,FALSE)</f>
        <v>Praterring 85, 2380 Perchtoldsdorf, Österreich</v>
      </c>
      <c r="L77" s="48">
        <v>72</v>
      </c>
      <c r="M77" s="11" t="s">
        <v>38</v>
      </c>
      <c r="N77" s="11" t="s">
        <v>36</v>
      </c>
      <c r="O77" s="11" t="s">
        <v>157</v>
      </c>
    </row>
    <row r="78" spans="5:15">
      <c r="E78" s="32">
        <v>75</v>
      </c>
      <c r="F78" s="31">
        <f t="shared" ca="1" si="1"/>
        <v>60</v>
      </c>
      <c r="G78" s="33">
        <v>121</v>
      </c>
      <c r="H78" s="42" t="str">
        <f>VLOOKUP($G78,lut,2,FALSE)</f>
        <v>Moritz</v>
      </c>
      <c r="I78" s="51" t="str">
        <f>VLOOKUP($G78,lut,3,FALSE)</f>
        <v>Auer</v>
      </c>
      <c r="J78" s="72" t="str">
        <f>VLOOKUP($G78,lut,4,FALSE)</f>
        <v>Brucknerring 78, 2380 Perchtoldsdorf, Österreich</v>
      </c>
      <c r="L78" s="48">
        <v>73</v>
      </c>
      <c r="M78" s="11" t="s">
        <v>158</v>
      </c>
      <c r="N78" s="11" t="s">
        <v>125</v>
      </c>
      <c r="O78" s="11" t="s">
        <v>159</v>
      </c>
    </row>
    <row r="79" spans="5:15">
      <c r="E79" s="32">
        <v>76</v>
      </c>
      <c r="F79" s="31">
        <f t="shared" ca="1" si="1"/>
        <v>458</v>
      </c>
      <c r="G79" s="33">
        <v>452</v>
      </c>
      <c r="H79" s="42" t="str">
        <f>VLOOKUP($G79,lut,2,FALSE)</f>
        <v>Sarah</v>
      </c>
      <c r="I79" s="51" t="str">
        <f>VLOOKUP($G79,lut,3,FALSE)</f>
        <v>Weber</v>
      </c>
      <c r="J79" s="72" t="str">
        <f>VLOOKUP($G79,lut,4,FALSE)</f>
        <v>Flussallee 54, 3100 St. Pölten, Österreich</v>
      </c>
      <c r="L79" s="48">
        <v>74</v>
      </c>
      <c r="M79" s="11" t="s">
        <v>160</v>
      </c>
      <c r="N79" s="11" t="s">
        <v>26</v>
      </c>
      <c r="O79" s="11" t="s">
        <v>161</v>
      </c>
    </row>
    <row r="80" spans="5:15">
      <c r="E80" s="32">
        <v>77</v>
      </c>
      <c r="F80" s="31">
        <f t="shared" ca="1" si="1"/>
        <v>955</v>
      </c>
      <c r="G80" s="33">
        <v>725</v>
      </c>
      <c r="H80" s="42" t="str">
        <f>VLOOKUP($G80,lut,2,FALSE)</f>
        <v>Sophie</v>
      </c>
      <c r="I80" s="51" t="str">
        <f>VLOOKUP($G80,lut,3,FALSE)</f>
        <v>Gruber</v>
      </c>
      <c r="J80" s="72" t="str">
        <f>VLOOKUP($G80,lut,4,FALSE)</f>
        <v>Bahnhofstraße 65, 1010 Wien, Österreich</v>
      </c>
      <c r="L80" s="48">
        <v>75</v>
      </c>
      <c r="M80" s="11" t="s">
        <v>71</v>
      </c>
      <c r="N80" s="11" t="s">
        <v>59</v>
      </c>
      <c r="O80" s="11" t="s">
        <v>162</v>
      </c>
    </row>
    <row r="81" spans="5:15">
      <c r="E81" s="32">
        <v>78</v>
      </c>
      <c r="F81" s="31">
        <f t="shared" ca="1" si="1"/>
        <v>640</v>
      </c>
      <c r="G81" s="33">
        <v>664</v>
      </c>
      <c r="H81" s="42" t="str">
        <f>VLOOKUP($G81,lut,2,FALSE)</f>
        <v>Julia</v>
      </c>
      <c r="I81" s="51" t="str">
        <f>VLOOKUP($G81,lut,3,FALSE)</f>
        <v>Pichler</v>
      </c>
      <c r="J81" s="72" t="str">
        <f>VLOOKUP($G81,lut,4,FALSE)</f>
        <v>Marktweg 83, 1040 Wien, Österreich</v>
      </c>
      <c r="L81" s="48">
        <v>76</v>
      </c>
      <c r="M81" s="11" t="s">
        <v>56</v>
      </c>
      <c r="N81" s="11" t="s">
        <v>42</v>
      </c>
      <c r="O81" s="11" t="s">
        <v>163</v>
      </c>
    </row>
    <row r="82" spans="5:15">
      <c r="E82" s="32">
        <v>79</v>
      </c>
      <c r="F82" s="31">
        <f t="shared" ca="1" si="1"/>
        <v>476</v>
      </c>
      <c r="G82" s="33">
        <v>861</v>
      </c>
      <c r="H82" s="42" t="str">
        <f>VLOOKUP($G82,lut,2,FALSE)</f>
        <v>Florian</v>
      </c>
      <c r="I82" s="51" t="str">
        <f>VLOOKUP($G82,lut,3,FALSE)</f>
        <v>Langer</v>
      </c>
      <c r="J82" s="72" t="str">
        <f>VLOOKUP($G82,lut,4,FALSE)</f>
        <v>AugartenBirkenstraße 49, 9020 Klagenfurt am Wörthersee, Österreich</v>
      </c>
      <c r="L82" s="48">
        <v>77</v>
      </c>
      <c r="M82" s="11" t="s">
        <v>38</v>
      </c>
      <c r="N82" s="11" t="s">
        <v>153</v>
      </c>
      <c r="O82" s="11" t="s">
        <v>164</v>
      </c>
    </row>
    <row r="83" spans="5:15">
      <c r="E83" s="32">
        <v>80</v>
      </c>
      <c r="F83" s="31">
        <f t="shared" ca="1" si="1"/>
        <v>205</v>
      </c>
      <c r="G83" s="33">
        <v>62</v>
      </c>
      <c r="H83" s="42" t="str">
        <f>VLOOKUP($G83,lut,2,FALSE)</f>
        <v>Laura</v>
      </c>
      <c r="I83" s="51" t="str">
        <f>VLOOKUP($G83,lut,3,FALSE)</f>
        <v>Brunner</v>
      </c>
      <c r="J83" s="72" t="str">
        <f>VLOOKUP($G83,lut,4,FALSE)</f>
        <v>Haydnweg 107D, 2380 Perchtoldsdorf, Österreich</v>
      </c>
      <c r="L83" s="48">
        <v>78</v>
      </c>
      <c r="M83" s="11" t="s">
        <v>30</v>
      </c>
      <c r="N83" s="11" t="s">
        <v>23</v>
      </c>
      <c r="O83" s="11" t="s">
        <v>165</v>
      </c>
    </row>
    <row r="84" spans="5:15">
      <c r="E84" s="32">
        <v>81</v>
      </c>
      <c r="F84" s="31">
        <f t="shared" ca="1" si="1"/>
        <v>532</v>
      </c>
      <c r="G84" s="33">
        <v>381</v>
      </c>
      <c r="H84" s="42" t="str">
        <f>VLOOKUP($G84,lut,2,FALSE)</f>
        <v>Paul</v>
      </c>
      <c r="I84" s="51" t="str">
        <f>VLOOKUP($G84,lut,3,FALSE)</f>
        <v>Berger</v>
      </c>
      <c r="J84" s="72" t="str">
        <f>VLOOKUP($G84,lut,4,FALSE)</f>
        <v>Mozartgasse 165, 3300 Amstetten, Österreich</v>
      </c>
      <c r="L84" s="48">
        <v>79</v>
      </c>
      <c r="M84" s="11" t="s">
        <v>166</v>
      </c>
      <c r="N84" s="11" t="s">
        <v>61</v>
      </c>
      <c r="O84" s="11" t="s">
        <v>167</v>
      </c>
    </row>
    <row r="85" spans="5:15">
      <c r="E85" s="32">
        <v>82</v>
      </c>
      <c r="F85" s="31">
        <f t="shared" ca="1" si="1"/>
        <v>893</v>
      </c>
      <c r="G85" s="33">
        <v>845</v>
      </c>
      <c r="H85" s="42" t="str">
        <f>VLOOKUP($G85,lut,2,FALSE)</f>
        <v>Jakob</v>
      </c>
      <c r="I85" s="51" t="str">
        <f>VLOOKUP($G85,lut,3,FALSE)</f>
        <v>Jäger</v>
      </c>
      <c r="J85" s="72" t="str">
        <f>VLOOKUP($G85,lut,4,FALSE)</f>
        <v>Parkweg 189, 6900 Bregenz, Österreich</v>
      </c>
      <c r="L85" s="48">
        <v>80</v>
      </c>
      <c r="M85" s="11" t="s">
        <v>141</v>
      </c>
      <c r="N85" s="11" t="s">
        <v>138</v>
      </c>
      <c r="O85" s="11" t="s">
        <v>168</v>
      </c>
    </row>
    <row r="86" spans="5:15">
      <c r="E86" s="32">
        <v>83</v>
      </c>
      <c r="F86" s="31">
        <f t="shared" ca="1" si="1"/>
        <v>231</v>
      </c>
      <c r="G86" s="33">
        <v>574</v>
      </c>
      <c r="H86" s="42" t="str">
        <f>VLOOKUP($G86,lut,2,FALSE)</f>
        <v>Fabian</v>
      </c>
      <c r="I86" s="51" t="str">
        <f>VLOOKUP($G86,lut,3,FALSE)</f>
        <v>Schuster</v>
      </c>
      <c r="J86" s="72" t="str">
        <f>VLOOKUP($G86,lut,4,FALSE)</f>
        <v>Ahornallee 162, 3500 Krems an der Donau, Österreich</v>
      </c>
      <c r="L86" s="48">
        <v>81</v>
      </c>
      <c r="M86" s="11" t="s">
        <v>169</v>
      </c>
      <c r="N86" s="11" t="s">
        <v>78</v>
      </c>
      <c r="O86" s="11" t="s">
        <v>170</v>
      </c>
    </row>
    <row r="87" spans="5:15">
      <c r="E87" s="32">
        <v>84</v>
      </c>
      <c r="F87" s="31">
        <f t="shared" ca="1" si="1"/>
        <v>848</v>
      </c>
      <c r="G87" s="33">
        <v>927</v>
      </c>
      <c r="H87" s="42" t="str">
        <f>VLOOKUP($G87,lut,2,FALSE)</f>
        <v>Carina</v>
      </c>
      <c r="I87" s="51" t="str">
        <f>VLOOKUP($G87,lut,3,FALSE)</f>
        <v>Maierhofer</v>
      </c>
      <c r="J87" s="72" t="str">
        <f>VLOOKUP($G87,lut,4,FALSE)</f>
        <v>Sonnenring 189, 2000 Stockerau, Österreich</v>
      </c>
      <c r="L87" s="48">
        <v>82</v>
      </c>
      <c r="M87" s="11" t="s">
        <v>47</v>
      </c>
      <c r="N87" s="11" t="s">
        <v>145</v>
      </c>
      <c r="O87" s="11" t="s">
        <v>171</v>
      </c>
    </row>
    <row r="88" spans="5:15">
      <c r="E88" s="32">
        <v>85</v>
      </c>
      <c r="F88" s="31">
        <f t="shared" ca="1" si="1"/>
        <v>997</v>
      </c>
      <c r="G88" s="33">
        <v>592</v>
      </c>
      <c r="H88" s="42" t="str">
        <f>VLOOKUP($G88,lut,2,FALSE)</f>
        <v>Dominik</v>
      </c>
      <c r="I88" s="51" t="str">
        <f>VLOOKUP($G88,lut,3,FALSE)</f>
        <v>Bauer</v>
      </c>
      <c r="J88" s="72" t="str">
        <f>VLOOKUP($G88,lut,4,FALSE)</f>
        <v>Seestraße 113, 3430 Tulln, Österreich</v>
      </c>
      <c r="L88" s="48">
        <v>83</v>
      </c>
      <c r="M88" s="11" t="s">
        <v>110</v>
      </c>
      <c r="N88" s="11" t="s">
        <v>138</v>
      </c>
      <c r="O88" s="11" t="s">
        <v>172</v>
      </c>
    </row>
    <row r="89" spans="5:15">
      <c r="E89" s="32">
        <v>86</v>
      </c>
      <c r="F89" s="31">
        <f t="shared" ca="1" si="1"/>
        <v>231</v>
      </c>
      <c r="G89" s="33">
        <v>946</v>
      </c>
      <c r="H89" s="42" t="str">
        <f>VLOOKUP($G89,lut,2,FALSE)</f>
        <v>Leon</v>
      </c>
      <c r="I89" s="51" t="str">
        <f>VLOOKUP($G89,lut,3,FALSE)</f>
        <v>Lindner</v>
      </c>
      <c r="J89" s="72" t="str">
        <f>VLOOKUP($G89,lut,4,FALSE)</f>
        <v>ParkGartengasse 77, Stg. 3, Tür 17, 2000 Stockerau, Österreich</v>
      </c>
      <c r="L89" s="48">
        <v>84</v>
      </c>
      <c r="M89" s="11" t="s">
        <v>121</v>
      </c>
      <c r="N89" s="11" t="s">
        <v>173</v>
      </c>
      <c r="O89" s="11" t="s">
        <v>174</v>
      </c>
    </row>
    <row r="90" spans="5:15">
      <c r="E90" s="32">
        <v>87</v>
      </c>
      <c r="F90" s="31">
        <f t="shared" ca="1" si="1"/>
        <v>111</v>
      </c>
      <c r="G90" s="33">
        <v>630</v>
      </c>
      <c r="H90" s="42" t="str">
        <f>VLOOKUP($G90,lut,2,FALSE)</f>
        <v>Leon</v>
      </c>
      <c r="I90" s="51" t="str">
        <f>VLOOKUP($G90,lut,3,FALSE)</f>
        <v>Auer</v>
      </c>
      <c r="J90" s="72" t="str">
        <f>VLOOKUP($G90,lut,4,FALSE)</f>
        <v>Seeplatz 8, 1090 Wien, Österreich</v>
      </c>
      <c r="L90" s="48">
        <v>85</v>
      </c>
      <c r="M90" s="11" t="s">
        <v>69</v>
      </c>
      <c r="N90" s="11" t="s">
        <v>147</v>
      </c>
      <c r="O90" s="11" t="s">
        <v>175</v>
      </c>
    </row>
    <row r="91" spans="5:15">
      <c r="E91" s="32">
        <v>88</v>
      </c>
      <c r="F91" s="31">
        <f t="shared" ca="1" si="1"/>
        <v>329</v>
      </c>
      <c r="G91" s="33">
        <v>867</v>
      </c>
      <c r="H91" s="42" t="str">
        <f>VLOOKUP($G91,lut,2,FALSE)</f>
        <v>Nora</v>
      </c>
      <c r="I91" s="51" t="str">
        <f>VLOOKUP($G91,lut,3,FALSE)</f>
        <v>Gruber</v>
      </c>
      <c r="J91" s="72" t="str">
        <f>VLOOKUP($G91,lut,4,FALSE)</f>
        <v>Bergweg 98, 2380 Perchtoldsdorf, Österreich</v>
      </c>
      <c r="L91" s="48">
        <v>86</v>
      </c>
      <c r="M91" s="11" t="s">
        <v>176</v>
      </c>
      <c r="N91" s="11" t="s">
        <v>177</v>
      </c>
      <c r="O91" s="11" t="s">
        <v>178</v>
      </c>
    </row>
    <row r="92" spans="5:15">
      <c r="E92" s="32">
        <v>89</v>
      </c>
      <c r="F92" s="31">
        <f t="shared" ca="1" si="1"/>
        <v>642</v>
      </c>
      <c r="G92" s="33">
        <v>716</v>
      </c>
      <c r="H92" s="42" t="str">
        <f>VLOOKUP($G92,lut,2,FALSE)</f>
        <v>Franz</v>
      </c>
      <c r="I92" s="51" t="str">
        <f>VLOOKUP($G92,lut,3,FALSE)</f>
        <v>Langer</v>
      </c>
      <c r="J92" s="72" t="str">
        <f>VLOOKUP($G92,lut,4,FALSE)</f>
        <v>Mühlring 50, 5020 Salzburg, Österreich</v>
      </c>
      <c r="L92" s="48">
        <v>87</v>
      </c>
      <c r="M92" s="11" t="s">
        <v>124</v>
      </c>
      <c r="N92" s="11" t="s">
        <v>179</v>
      </c>
      <c r="O92" s="11" t="s">
        <v>180</v>
      </c>
    </row>
    <row r="93" spans="5:15">
      <c r="E93" s="32">
        <v>90</v>
      </c>
      <c r="F93" s="31">
        <f t="shared" ca="1" si="1"/>
        <v>88</v>
      </c>
      <c r="G93" s="33">
        <v>481</v>
      </c>
      <c r="H93" s="42" t="str">
        <f>VLOOKUP($G93,lut,2,FALSE)</f>
        <v>Tobias</v>
      </c>
      <c r="I93" s="51" t="str">
        <f>VLOOKUP($G93,lut,3,FALSE)</f>
        <v>Moser</v>
      </c>
      <c r="J93" s="72" t="str">
        <f>VLOOKUP($G93,lut,4,FALSE)</f>
        <v>WaldGartenplatz 52, Stg. 3, Tür 17, 9020 Klagenfurt am Wörthersee, Österreich</v>
      </c>
      <c r="L93" s="48">
        <v>88</v>
      </c>
      <c r="M93" s="11" t="s">
        <v>176</v>
      </c>
      <c r="N93" s="11" t="s">
        <v>181</v>
      </c>
      <c r="O93" s="11" t="s">
        <v>182</v>
      </c>
    </row>
    <row r="94" spans="5:15">
      <c r="E94" s="32">
        <v>91</v>
      </c>
      <c r="F94" s="31">
        <f t="shared" ca="1" si="1"/>
        <v>669</v>
      </c>
      <c r="G94" s="33">
        <v>54</v>
      </c>
      <c r="H94" s="42" t="str">
        <f>VLOOKUP($G94,lut,2,FALSE)</f>
        <v>Helena</v>
      </c>
      <c r="I94" s="51" t="str">
        <f>VLOOKUP($G94,lut,3,FALSE)</f>
        <v>Steiner</v>
      </c>
      <c r="J94" s="72" t="str">
        <f>VLOOKUP($G94,lut,4,FALSE)</f>
        <v>Hauptallee 159, 8010 Graz, Österreich</v>
      </c>
      <c r="L94" s="48">
        <v>89</v>
      </c>
      <c r="M94" s="11" t="s">
        <v>160</v>
      </c>
      <c r="N94" s="11" t="s">
        <v>181</v>
      </c>
      <c r="O94" s="11" t="s">
        <v>183</v>
      </c>
    </row>
    <row r="95" spans="5:15">
      <c r="E95" s="32">
        <v>92</v>
      </c>
      <c r="F95" s="31">
        <f t="shared" ca="1" si="1"/>
        <v>965</v>
      </c>
      <c r="G95" s="33">
        <v>347</v>
      </c>
      <c r="H95" s="42" t="str">
        <f>VLOOKUP($G95,lut,2,FALSE)</f>
        <v>Jonas</v>
      </c>
      <c r="I95" s="51" t="str">
        <f>VLOOKUP($G95,lut,3,FALSE)</f>
        <v>Berger</v>
      </c>
      <c r="J95" s="72" t="str">
        <f>VLOOKUP($G95,lut,4,FALSE)</f>
        <v>Kirchengasse 154, 1100 Wien, Österreich</v>
      </c>
      <c r="L95" s="48">
        <v>90</v>
      </c>
      <c r="M95" s="11" t="s">
        <v>19</v>
      </c>
      <c r="N95" s="11" t="s">
        <v>26</v>
      </c>
      <c r="O95" s="11" t="s">
        <v>184</v>
      </c>
    </row>
    <row r="96" spans="5:15">
      <c r="E96" s="32">
        <v>93</v>
      </c>
      <c r="F96" s="31">
        <f t="shared" ca="1" si="1"/>
        <v>421</v>
      </c>
      <c r="G96" s="33">
        <v>824</v>
      </c>
      <c r="H96" s="42" t="str">
        <f>VLOOKUP($G96,lut,2,FALSE)</f>
        <v>Clara</v>
      </c>
      <c r="I96" s="51" t="str">
        <f>VLOOKUP($G96,lut,3,FALSE)</f>
        <v>Feldbauer</v>
      </c>
      <c r="J96" s="72" t="str">
        <f>VLOOKUP($G96,lut,4,FALSE)</f>
        <v>RosenSeeallee 127, 2380 Perchtoldsdorf, Österreich</v>
      </c>
      <c r="L96" s="48">
        <v>91</v>
      </c>
      <c r="M96" s="11" t="s">
        <v>69</v>
      </c>
      <c r="N96" s="11" t="s">
        <v>75</v>
      </c>
      <c r="O96" s="11" t="s">
        <v>185</v>
      </c>
    </row>
    <row r="97" spans="5:15">
      <c r="E97" s="32">
        <v>94</v>
      </c>
      <c r="F97" s="31">
        <f t="shared" ca="1" si="1"/>
        <v>344</v>
      </c>
      <c r="G97" s="33">
        <v>820</v>
      </c>
      <c r="H97" s="42" t="str">
        <f>VLOOKUP($G97,lut,2,FALSE)</f>
        <v>Franz</v>
      </c>
      <c r="I97" s="51" t="str">
        <f>VLOOKUP($G97,lut,3,FALSE)</f>
        <v>Kaiser</v>
      </c>
      <c r="J97" s="72" t="str">
        <f>VLOOKUP($G97,lut,4,FALSE)</f>
        <v>Donaugasse 128, 1090 Wien, Österreich</v>
      </c>
      <c r="L97" s="48">
        <v>92</v>
      </c>
      <c r="M97" s="11" t="s">
        <v>32</v>
      </c>
      <c r="N97" s="11" t="s">
        <v>179</v>
      </c>
      <c r="O97" s="11" t="s">
        <v>186</v>
      </c>
    </row>
    <row r="98" spans="5:15">
      <c r="E98" s="32">
        <v>95</v>
      </c>
      <c r="F98" s="31">
        <f t="shared" ca="1" si="1"/>
        <v>770</v>
      </c>
      <c r="G98" s="33">
        <v>213</v>
      </c>
      <c r="H98" s="42" t="str">
        <f>VLOOKUP($G98,lut,2,FALSE)</f>
        <v>Tobias</v>
      </c>
      <c r="I98" s="51" t="str">
        <f>VLOOKUP($G98,lut,3,FALSE)</f>
        <v>Fischer</v>
      </c>
      <c r="J98" s="72" t="str">
        <f>VLOOKUP($G98,lut,4,FALSE)</f>
        <v>KirchenSeestadtweg 71C, 4020 Linz, Österreich</v>
      </c>
      <c r="L98" s="48">
        <v>93</v>
      </c>
      <c r="M98" s="11" t="s">
        <v>187</v>
      </c>
      <c r="N98" s="11" t="s">
        <v>145</v>
      </c>
      <c r="O98" s="11" t="s">
        <v>188</v>
      </c>
    </row>
    <row r="99" spans="5:15">
      <c r="E99" s="32">
        <v>96</v>
      </c>
      <c r="F99" s="31">
        <f t="shared" ca="1" si="1"/>
        <v>483</v>
      </c>
      <c r="G99" s="33">
        <v>727</v>
      </c>
      <c r="H99" s="42" t="str">
        <f>VLOOKUP($G99,lut,2,FALSE)</f>
        <v>Magdalena</v>
      </c>
      <c r="I99" s="51" t="str">
        <f>VLOOKUP($G99,lut,3,FALSE)</f>
        <v>König</v>
      </c>
      <c r="J99" s="72" t="str">
        <f>VLOOKUP($G99,lut,4,FALSE)</f>
        <v>Augartenplatz 187, Stg. 2, Tür 1, 9020 Klagenfurt am Wörthersee, Österreich</v>
      </c>
      <c r="L99" s="48">
        <v>94</v>
      </c>
      <c r="M99" s="11" t="s">
        <v>56</v>
      </c>
      <c r="N99" s="11" t="s">
        <v>51</v>
      </c>
      <c r="O99" s="11" t="s">
        <v>189</v>
      </c>
    </row>
    <row r="100" spans="5:15">
      <c r="E100" s="32">
        <v>97</v>
      </c>
      <c r="F100" s="31">
        <f t="shared" ca="1" si="1"/>
        <v>161</v>
      </c>
      <c r="G100" s="33">
        <v>541</v>
      </c>
      <c r="H100" s="42" t="str">
        <f>VLOOKUP($G100,lut,2,FALSE)</f>
        <v>Anna</v>
      </c>
      <c r="I100" s="51" t="str">
        <f>VLOOKUP($G100,lut,3,FALSE)</f>
        <v>Lang</v>
      </c>
      <c r="J100" s="72" t="str">
        <f>VLOOKUP($G100,lut,4,FALSE)</f>
        <v>FavoritenUniversitätsweg 131, 1080 Wien, Österreich</v>
      </c>
      <c r="L100" s="48">
        <v>95</v>
      </c>
      <c r="M100" s="11" t="s">
        <v>64</v>
      </c>
      <c r="N100" s="11" t="s">
        <v>14</v>
      </c>
      <c r="O100" s="11" t="s">
        <v>190</v>
      </c>
    </row>
    <row r="101" spans="5:15">
      <c r="E101" s="32">
        <v>98</v>
      </c>
      <c r="F101" s="31">
        <f t="shared" ca="1" si="1"/>
        <v>38</v>
      </c>
      <c r="G101" s="33">
        <v>884</v>
      </c>
      <c r="H101" s="42" t="str">
        <f>VLOOKUP($G101,lut,2,FALSE)</f>
        <v>Clara</v>
      </c>
      <c r="I101" s="51" t="str">
        <f>VLOOKUP($G101,lut,3,FALSE)</f>
        <v>Berger</v>
      </c>
      <c r="J101" s="72" t="str">
        <f>VLOOKUP($G101,lut,4,FALSE)</f>
        <v>Rathausallee 109, Stg. 6, Tür 28, 4020 Linz, Österreich</v>
      </c>
      <c r="L101" s="48">
        <v>96</v>
      </c>
      <c r="M101" s="11" t="s">
        <v>110</v>
      </c>
      <c r="N101" s="11" t="s">
        <v>73</v>
      </c>
      <c r="O101" s="11" t="s">
        <v>191</v>
      </c>
    </row>
    <row r="102" spans="5:15">
      <c r="E102" s="32">
        <v>99</v>
      </c>
      <c r="F102" s="31">
        <f t="shared" ca="1" si="1"/>
        <v>22</v>
      </c>
      <c r="G102" s="33">
        <v>773</v>
      </c>
      <c r="H102" s="42" t="str">
        <f>VLOOKUP($G102,lut,2,FALSE)</f>
        <v>Moritz</v>
      </c>
      <c r="I102" s="51" t="str">
        <f>VLOOKUP($G102,lut,3,FALSE)</f>
        <v>Maierhofer</v>
      </c>
      <c r="J102" s="72" t="str">
        <f>VLOOKUP($G102,lut,4,FALSE)</f>
        <v>Sonnenkai 67, 2100 Korneuburg, Österreich</v>
      </c>
      <c r="L102" s="48">
        <v>97</v>
      </c>
      <c r="M102" s="11" t="s">
        <v>166</v>
      </c>
      <c r="N102" s="11" t="s">
        <v>80</v>
      </c>
      <c r="O102" s="11" t="s">
        <v>192</v>
      </c>
    </row>
    <row r="103" spans="5:15">
      <c r="E103" s="32">
        <v>100</v>
      </c>
      <c r="F103" s="31">
        <f t="shared" ca="1" si="1"/>
        <v>832</v>
      </c>
      <c r="G103" s="33">
        <v>635</v>
      </c>
      <c r="H103" s="42" t="str">
        <f>VLOOKUP($G103,lut,2,FALSE)</f>
        <v>Katharina</v>
      </c>
      <c r="I103" s="51" t="str">
        <f>VLOOKUP($G103,lut,3,FALSE)</f>
        <v>Pichler</v>
      </c>
      <c r="J103" s="72" t="str">
        <f>VLOOKUP($G103,lut,4,FALSE)</f>
        <v>Seestadtallee 31, 1050 Wien, Österreich</v>
      </c>
      <c r="L103" s="48">
        <v>98</v>
      </c>
      <c r="M103" s="11" t="s">
        <v>69</v>
      </c>
      <c r="N103" s="11" t="s">
        <v>193</v>
      </c>
      <c r="O103" s="11" t="s">
        <v>194</v>
      </c>
    </row>
    <row r="104" spans="5:15">
      <c r="E104" s="32">
        <v>101</v>
      </c>
      <c r="F104" s="31">
        <f t="shared" ca="1" si="1"/>
        <v>965</v>
      </c>
      <c r="G104" s="33">
        <v>359</v>
      </c>
      <c r="H104" s="42" t="str">
        <f>VLOOKUP($G104,lut,2,FALSE)</f>
        <v>Lisa</v>
      </c>
      <c r="I104" s="51" t="str">
        <f>VLOOKUP($G104,lut,3,FALSE)</f>
        <v>Langer</v>
      </c>
      <c r="J104" s="72" t="str">
        <f>VLOOKUP($G104,lut,4,FALSE)</f>
        <v>Wiesengasse 1A, Stg. 3, Tür 25, 1080 Wien, Österreich</v>
      </c>
      <c r="L104" s="48">
        <v>99</v>
      </c>
      <c r="M104" s="11" t="s">
        <v>176</v>
      </c>
      <c r="N104" s="11" t="s">
        <v>88</v>
      </c>
      <c r="O104" s="11" t="s">
        <v>195</v>
      </c>
    </row>
    <row r="105" spans="5:15">
      <c r="E105" s="32">
        <v>102</v>
      </c>
      <c r="F105" s="31">
        <f t="shared" ca="1" si="1"/>
        <v>741</v>
      </c>
      <c r="G105" s="33">
        <v>274</v>
      </c>
      <c r="H105" s="42" t="str">
        <f>VLOOKUP($G105,lut,2,FALSE)</f>
        <v>Melanie</v>
      </c>
      <c r="I105" s="51" t="str">
        <f>VLOOKUP($G105,lut,3,FALSE)</f>
        <v>Gruber</v>
      </c>
      <c r="J105" s="72" t="str">
        <f>VLOOKUP($G105,lut,4,FALSE)</f>
        <v>Bahnhofgasse 151, 3430 Tulln, Österreich</v>
      </c>
      <c r="L105" s="48">
        <v>100</v>
      </c>
      <c r="M105" s="11" t="s">
        <v>130</v>
      </c>
      <c r="N105" s="11" t="s">
        <v>135</v>
      </c>
      <c r="O105" s="11" t="s">
        <v>196</v>
      </c>
    </row>
    <row r="106" spans="5:15">
      <c r="E106" s="32">
        <v>103</v>
      </c>
      <c r="F106" s="31">
        <f t="shared" ca="1" si="1"/>
        <v>604</v>
      </c>
      <c r="G106" s="33">
        <v>835</v>
      </c>
      <c r="H106" s="42" t="str">
        <f>VLOOKUP($G106,lut,2,FALSE)</f>
        <v>Philipp</v>
      </c>
      <c r="I106" s="51" t="str">
        <f>VLOOKUP($G106,lut,3,FALSE)</f>
        <v>Koller</v>
      </c>
      <c r="J106" s="72" t="str">
        <f>VLOOKUP($G106,lut,4,FALSE)</f>
        <v>Kreuzallee 141, 1010 Wien, Österreich</v>
      </c>
      <c r="L106" s="48">
        <v>101</v>
      </c>
      <c r="M106" s="11" t="s">
        <v>197</v>
      </c>
      <c r="N106" s="11" t="s">
        <v>105</v>
      </c>
      <c r="O106" s="11" t="s">
        <v>198</v>
      </c>
    </row>
    <row r="107" spans="5:15">
      <c r="E107" s="32">
        <v>104</v>
      </c>
      <c r="F107" s="31">
        <f t="shared" ca="1" si="1"/>
        <v>382</v>
      </c>
      <c r="G107" s="33">
        <v>315</v>
      </c>
      <c r="H107" s="42" t="str">
        <f>VLOOKUP($G107,lut,2,FALSE)</f>
        <v>Tobias</v>
      </c>
      <c r="I107" s="51" t="str">
        <f>VLOOKUP($G107,lut,3,FALSE)</f>
        <v>Dietrich</v>
      </c>
      <c r="J107" s="72" t="str">
        <f>VLOOKUP($G107,lut,4,FALSE)</f>
        <v>PromenadeMariahilferplatz 82A, 9020 Klagenfurt am Wörthersee, Österreich</v>
      </c>
      <c r="L107" s="48">
        <v>102</v>
      </c>
      <c r="M107" s="11" t="s">
        <v>53</v>
      </c>
      <c r="N107" s="11" t="s">
        <v>33</v>
      </c>
      <c r="O107" s="11" t="s">
        <v>199</v>
      </c>
    </row>
    <row r="108" spans="5:15">
      <c r="E108" s="32">
        <v>105</v>
      </c>
      <c r="F108" s="31">
        <f t="shared" ca="1" si="1"/>
        <v>896</v>
      </c>
      <c r="G108" s="33">
        <v>936</v>
      </c>
      <c r="H108" s="42" t="str">
        <f>VLOOKUP($G108,lut,2,FALSE)</f>
        <v>Moritz</v>
      </c>
      <c r="I108" s="51" t="str">
        <f>VLOOKUP($G108,lut,3,FALSE)</f>
        <v>Maierhofer</v>
      </c>
      <c r="J108" s="72" t="str">
        <f>VLOOKUP($G108,lut,4,FALSE)</f>
        <v>Mariahilferweg 122, Stg. 2, Tür 33, 4020 Linz, Österreich</v>
      </c>
      <c r="L108" s="48">
        <v>103</v>
      </c>
      <c r="M108" s="11" t="s">
        <v>13</v>
      </c>
      <c r="N108" s="11" t="s">
        <v>80</v>
      </c>
      <c r="O108" s="11" t="s">
        <v>200</v>
      </c>
    </row>
    <row r="109" spans="5:15">
      <c r="E109" s="32">
        <v>106</v>
      </c>
      <c r="F109" s="31">
        <f t="shared" ca="1" si="1"/>
        <v>460</v>
      </c>
      <c r="G109" s="33">
        <v>721</v>
      </c>
      <c r="H109" s="42" t="str">
        <f>VLOOKUP($G109,lut,2,FALSE)</f>
        <v>Helena</v>
      </c>
      <c r="I109" s="51" t="str">
        <f>VLOOKUP($G109,lut,3,FALSE)</f>
        <v>Pichler</v>
      </c>
      <c r="J109" s="72" t="str">
        <f>VLOOKUP($G109,lut,4,FALSE)</f>
        <v>Donauweg 178, 8010 Graz, Österreich</v>
      </c>
      <c r="L109" s="48">
        <v>104</v>
      </c>
      <c r="M109" s="11" t="s">
        <v>166</v>
      </c>
      <c r="N109" s="11" t="s">
        <v>14</v>
      </c>
      <c r="O109" s="11" t="s">
        <v>201</v>
      </c>
    </row>
    <row r="110" spans="5:15">
      <c r="E110" s="32">
        <v>107</v>
      </c>
      <c r="F110" s="31">
        <f t="shared" ca="1" si="1"/>
        <v>986</v>
      </c>
      <c r="G110" s="33">
        <v>990</v>
      </c>
      <c r="H110" s="42" t="str">
        <f>VLOOKUP($G110,lut,2,FALSE)</f>
        <v>Katharina</v>
      </c>
      <c r="I110" s="51" t="str">
        <f>VLOOKUP($G110,lut,3,FALSE)</f>
        <v>Koch</v>
      </c>
      <c r="J110" s="72" t="str">
        <f>VLOOKUP($G110,lut,4,FALSE)</f>
        <v>BrucknerFlussring 158, 3430 Tulln, Österreich</v>
      </c>
      <c r="L110" s="48">
        <v>105</v>
      </c>
      <c r="M110" s="11" t="s">
        <v>197</v>
      </c>
      <c r="N110" s="11" t="s">
        <v>83</v>
      </c>
      <c r="O110" s="11" t="s">
        <v>202</v>
      </c>
    </row>
    <row r="111" spans="5:15">
      <c r="E111" s="32">
        <v>108</v>
      </c>
      <c r="F111" s="31">
        <f t="shared" ca="1" si="1"/>
        <v>819</v>
      </c>
      <c r="G111" s="33">
        <v>921</v>
      </c>
      <c r="H111" s="42" t="str">
        <f>VLOOKUP($G111,lut,2,FALSE)</f>
        <v>Michael</v>
      </c>
      <c r="I111" s="51" t="str">
        <f>VLOOKUP($G111,lut,3,FALSE)</f>
        <v>Haas</v>
      </c>
      <c r="J111" s="72" t="str">
        <f>VLOOKUP($G111,lut,4,FALSE)</f>
        <v>LindenDöblingerweg 86, 6900 Bregenz, Österreich</v>
      </c>
      <c r="L111" s="48">
        <v>106</v>
      </c>
      <c r="M111" s="11" t="s">
        <v>203</v>
      </c>
      <c r="N111" s="11" t="s">
        <v>204</v>
      </c>
      <c r="O111" s="11" t="s">
        <v>205</v>
      </c>
    </row>
    <row r="112" spans="5:15">
      <c r="E112" s="32">
        <v>109</v>
      </c>
      <c r="F112" s="31">
        <f t="shared" ca="1" si="1"/>
        <v>165</v>
      </c>
      <c r="G112" s="33">
        <v>189</v>
      </c>
      <c r="H112" s="42" t="str">
        <f>VLOOKUP($G112,lut,2,FALSE)</f>
        <v>Verena</v>
      </c>
      <c r="I112" s="51" t="str">
        <f>VLOOKUP($G112,lut,3,FALSE)</f>
        <v>Lindner</v>
      </c>
      <c r="J112" s="72" t="str">
        <f>VLOOKUP($G112,lut,4,FALSE)</f>
        <v>DonauAugartenstraße 153, 4600 Wels, Österreich</v>
      </c>
      <c r="L112" s="48">
        <v>107</v>
      </c>
      <c r="M112" s="11" t="s">
        <v>197</v>
      </c>
      <c r="N112" s="11" t="s">
        <v>111</v>
      </c>
      <c r="O112" s="11" t="s">
        <v>206</v>
      </c>
    </row>
    <row r="113" spans="5:15">
      <c r="E113" s="32">
        <v>110</v>
      </c>
      <c r="F113" s="31">
        <f t="shared" ca="1" si="1"/>
        <v>154</v>
      </c>
      <c r="G113" s="33">
        <v>342</v>
      </c>
      <c r="H113" s="42" t="str">
        <f>VLOOKUP($G113,lut,2,FALSE)</f>
        <v>Anna</v>
      </c>
      <c r="I113" s="51" t="str">
        <f>VLOOKUP($G113,lut,3,FALSE)</f>
        <v>Schwarz</v>
      </c>
      <c r="J113" s="72" t="str">
        <f>VLOOKUP($G113,lut,4,FALSE)</f>
        <v>PraterEichenstraße 133, Stg. 3, Tür 8, 1010 Wien, Österreich</v>
      </c>
      <c r="L113" s="48">
        <v>108</v>
      </c>
      <c r="M113" s="11" t="s">
        <v>141</v>
      </c>
      <c r="N113" s="11" t="s">
        <v>39</v>
      </c>
      <c r="O113" s="11" t="s">
        <v>207</v>
      </c>
    </row>
    <row r="114" spans="5:15">
      <c r="E114" s="32">
        <v>111</v>
      </c>
      <c r="F114" s="31">
        <f t="shared" ca="1" si="1"/>
        <v>553</v>
      </c>
      <c r="G114" s="33">
        <v>336</v>
      </c>
      <c r="H114" s="42" t="str">
        <f>VLOOKUP($G114,lut,2,FALSE)</f>
        <v>Anna</v>
      </c>
      <c r="I114" s="51" t="str">
        <f>VLOOKUP($G114,lut,3,FALSE)</f>
        <v>Jäger</v>
      </c>
      <c r="J114" s="72" t="str">
        <f>VLOOKUP($G114,lut,4,FALSE)</f>
        <v>Kirchenring 163, 2100 Korneuburg, Österreich</v>
      </c>
      <c r="L114" s="48">
        <v>109</v>
      </c>
      <c r="M114" s="11" t="s">
        <v>95</v>
      </c>
      <c r="N114" s="11" t="s">
        <v>88</v>
      </c>
      <c r="O114" s="11" t="s">
        <v>208</v>
      </c>
    </row>
    <row r="115" spans="5:15">
      <c r="E115" s="32">
        <v>112</v>
      </c>
      <c r="F115" s="31">
        <f t="shared" ca="1" si="1"/>
        <v>483</v>
      </c>
      <c r="G115" s="33">
        <v>641</v>
      </c>
      <c r="H115" s="42" t="str">
        <f>VLOOKUP($G115,lut,2,FALSE)</f>
        <v>Katharina</v>
      </c>
      <c r="I115" s="51" t="str">
        <f>VLOOKUP($G115,lut,3,FALSE)</f>
        <v>Seidl</v>
      </c>
      <c r="J115" s="72" t="str">
        <f>VLOOKUP($G115,lut,4,FALSE)</f>
        <v>Mühlplatz 11, 2380 Perchtoldsdorf, Österreich</v>
      </c>
      <c r="L115" s="48">
        <v>110</v>
      </c>
      <c r="M115" s="11" t="s">
        <v>197</v>
      </c>
      <c r="N115" s="11" t="s">
        <v>147</v>
      </c>
      <c r="O115" s="11" t="s">
        <v>209</v>
      </c>
    </row>
    <row r="116" spans="5:15">
      <c r="E116" s="32">
        <v>113</v>
      </c>
      <c r="F116" s="31">
        <f t="shared" ca="1" si="1"/>
        <v>864</v>
      </c>
      <c r="G116" s="33">
        <v>716</v>
      </c>
      <c r="H116" s="42" t="str">
        <f>VLOOKUP($G116,lut,2,FALSE)</f>
        <v>Franz</v>
      </c>
      <c r="I116" s="51" t="str">
        <f>VLOOKUP($G116,lut,3,FALSE)</f>
        <v>Langer</v>
      </c>
      <c r="J116" s="72" t="str">
        <f>VLOOKUP($G116,lut,4,FALSE)</f>
        <v>Mühlring 50, 5020 Salzburg, Österreich</v>
      </c>
      <c r="L116" s="48">
        <v>111</v>
      </c>
      <c r="M116" s="11" t="s">
        <v>210</v>
      </c>
      <c r="N116" s="11" t="s">
        <v>20</v>
      </c>
      <c r="O116" s="11" t="s">
        <v>211</v>
      </c>
    </row>
    <row r="117" spans="5:15">
      <c r="E117" s="32">
        <v>114</v>
      </c>
      <c r="F117" s="31">
        <f t="shared" ca="1" si="1"/>
        <v>278</v>
      </c>
      <c r="G117" s="33">
        <v>156</v>
      </c>
      <c r="H117" s="42" t="str">
        <f>VLOOKUP($G117,lut,2,FALSE)</f>
        <v>David</v>
      </c>
      <c r="I117" s="51" t="str">
        <f>VLOOKUP($G117,lut,3,FALSE)</f>
        <v>Hofmann</v>
      </c>
      <c r="J117" s="72" t="str">
        <f>VLOOKUP($G117,lut,4,FALSE)</f>
        <v>Brucknerplatz 107, 8010 Graz, Österreich</v>
      </c>
      <c r="L117" s="48">
        <v>112</v>
      </c>
      <c r="M117" s="11" t="s">
        <v>130</v>
      </c>
      <c r="N117" s="11" t="s">
        <v>212</v>
      </c>
      <c r="O117" s="11" t="s">
        <v>213</v>
      </c>
    </row>
    <row r="118" spans="5:15">
      <c r="E118" s="32">
        <v>115</v>
      </c>
      <c r="F118" s="31">
        <f t="shared" ca="1" si="1"/>
        <v>609</v>
      </c>
      <c r="G118" s="33">
        <v>128</v>
      </c>
      <c r="H118" s="42" t="str">
        <f>VLOOKUP($G118,lut,2,FALSE)</f>
        <v>Sarah</v>
      </c>
      <c r="I118" s="51" t="str">
        <f>VLOOKUP($G118,lut,3,FALSE)</f>
        <v>Vogt</v>
      </c>
      <c r="J118" s="72" t="str">
        <f>VLOOKUP($G118,lut,4,FALSE)</f>
        <v>AlleeBahnhofkai 37, 1080 Wien, Österreich</v>
      </c>
      <c r="L118" s="48">
        <v>113</v>
      </c>
      <c r="M118" s="11" t="s">
        <v>77</v>
      </c>
      <c r="N118" s="11" t="s">
        <v>80</v>
      </c>
      <c r="O118" s="11" t="s">
        <v>214</v>
      </c>
    </row>
    <row r="119" spans="5:15">
      <c r="E119" s="32">
        <v>116</v>
      </c>
      <c r="F119" s="31">
        <f t="shared" ca="1" si="1"/>
        <v>488</v>
      </c>
      <c r="G119" s="33">
        <v>685</v>
      </c>
      <c r="H119" s="42" t="str">
        <f>VLOOKUP($G119,lut,2,FALSE)</f>
        <v>Lea</v>
      </c>
      <c r="I119" s="51" t="str">
        <f>VLOOKUP($G119,lut,3,FALSE)</f>
        <v>Koch</v>
      </c>
      <c r="J119" s="72" t="str">
        <f>VLOOKUP($G119,lut,4,FALSE)</f>
        <v>Rathausgasse 104, Stg. 5, Tür 5, 9020 Klagenfurt am Wörthersee, Österreich</v>
      </c>
      <c r="L119" s="48">
        <v>114</v>
      </c>
      <c r="M119" s="11" t="s">
        <v>203</v>
      </c>
      <c r="N119" s="11" t="s">
        <v>51</v>
      </c>
      <c r="O119" s="11" t="s">
        <v>215</v>
      </c>
    </row>
    <row r="120" spans="5:15">
      <c r="E120" s="32">
        <v>117</v>
      </c>
      <c r="F120" s="31">
        <f t="shared" ca="1" si="1"/>
        <v>247</v>
      </c>
      <c r="G120" s="33">
        <v>622</v>
      </c>
      <c r="H120" s="42" t="str">
        <f>VLOOKUP($G120,lut,2,FALSE)</f>
        <v>Jakob</v>
      </c>
      <c r="I120" s="51" t="str">
        <f>VLOOKUP($G120,lut,3,FALSE)</f>
        <v>Vogt</v>
      </c>
      <c r="J120" s="72" t="str">
        <f>VLOOKUP($G120,lut,4,FALSE)</f>
        <v>Gartengasse 38, Stg. 6, Tür 8, 1100 Wien, Österreich</v>
      </c>
      <c r="L120" s="48">
        <v>115</v>
      </c>
      <c r="M120" s="11" t="s">
        <v>22</v>
      </c>
      <c r="N120" s="11" t="s">
        <v>54</v>
      </c>
      <c r="O120" s="11" t="s">
        <v>216</v>
      </c>
    </row>
    <row r="121" spans="5:15">
      <c r="E121" s="32">
        <v>118</v>
      </c>
      <c r="F121" s="31">
        <f t="shared" ca="1" si="1"/>
        <v>612</v>
      </c>
      <c r="G121" s="33">
        <v>599</v>
      </c>
      <c r="H121" s="42" t="str">
        <f>VLOOKUP($G121,lut,2,FALSE)</f>
        <v>Tobias</v>
      </c>
      <c r="I121" s="51" t="str">
        <f>VLOOKUP($G121,lut,3,FALSE)</f>
        <v>Lindner</v>
      </c>
      <c r="J121" s="72" t="str">
        <f>VLOOKUP($G121,lut,4,FALSE)</f>
        <v>OpernEichenweg 156, 1010 Wien, Österreich</v>
      </c>
      <c r="L121" s="48">
        <v>116</v>
      </c>
      <c r="M121" s="11" t="s">
        <v>16</v>
      </c>
      <c r="N121" s="11" t="s">
        <v>105</v>
      </c>
      <c r="O121" s="11" t="s">
        <v>217</v>
      </c>
    </row>
    <row r="122" spans="5:15">
      <c r="E122" s="32">
        <v>119</v>
      </c>
      <c r="F122" s="31">
        <f t="shared" ca="1" si="1"/>
        <v>377</v>
      </c>
      <c r="G122" s="33">
        <v>119</v>
      </c>
      <c r="H122" s="42" t="str">
        <f>VLOOKUP($G122,lut,2,FALSE)</f>
        <v>Sebastian</v>
      </c>
      <c r="I122" s="51" t="str">
        <f>VLOOKUP($G122,lut,3,FALSE)</f>
        <v>Langer</v>
      </c>
      <c r="J122" s="72" t="str">
        <f>VLOOKUP($G122,lut,4,FALSE)</f>
        <v>Mühlplatz 37, 4600 Wels, Österreich</v>
      </c>
      <c r="L122" s="48">
        <v>117</v>
      </c>
      <c r="M122" s="11" t="s">
        <v>169</v>
      </c>
      <c r="N122" s="11" t="s">
        <v>179</v>
      </c>
      <c r="O122" s="11" t="s">
        <v>218</v>
      </c>
    </row>
    <row r="123" spans="5:15">
      <c r="E123" s="32">
        <v>120</v>
      </c>
      <c r="F123" s="31">
        <f t="shared" ca="1" si="1"/>
        <v>836</v>
      </c>
      <c r="G123" s="33">
        <v>131</v>
      </c>
      <c r="H123" s="42" t="str">
        <f>VLOOKUP($G123,lut,2,FALSE)</f>
        <v>Sophie</v>
      </c>
      <c r="I123" s="51" t="str">
        <f>VLOOKUP($G123,lut,3,FALSE)</f>
        <v>Langer</v>
      </c>
      <c r="J123" s="72" t="str">
        <f>VLOOKUP($G123,lut,4,FALSE)</f>
        <v>EichenSeestadtplatz 84, 1080 Wien, Österreich</v>
      </c>
      <c r="L123" s="48">
        <v>118</v>
      </c>
      <c r="M123" s="11" t="s">
        <v>64</v>
      </c>
      <c r="N123" s="11" t="s">
        <v>111</v>
      </c>
      <c r="O123" s="11" t="s">
        <v>219</v>
      </c>
    </row>
    <row r="124" spans="5:15">
      <c r="E124" s="32">
        <v>121</v>
      </c>
      <c r="F124" s="31">
        <f t="shared" ca="1" si="1"/>
        <v>378</v>
      </c>
      <c r="G124" s="33">
        <v>597</v>
      </c>
      <c r="H124" s="42" t="str">
        <f>VLOOKUP($G124,lut,2,FALSE)</f>
        <v>Sebastian</v>
      </c>
      <c r="I124" s="51" t="str">
        <f>VLOOKUP($G124,lut,3,FALSE)</f>
        <v>Fischer</v>
      </c>
      <c r="J124" s="72" t="str">
        <f>VLOOKUP($G124,lut,4,FALSE)</f>
        <v>Parkplatz 29F, Stg. 2, Tür 12, 1030 Wien, Österreich</v>
      </c>
      <c r="L124" s="48">
        <v>119</v>
      </c>
      <c r="M124" s="11" t="s">
        <v>220</v>
      </c>
      <c r="N124" s="11" t="s">
        <v>54</v>
      </c>
      <c r="O124" s="11" t="s">
        <v>221</v>
      </c>
    </row>
    <row r="125" spans="5:15">
      <c r="E125" s="32">
        <v>122</v>
      </c>
      <c r="F125" s="31">
        <f t="shared" ca="1" si="1"/>
        <v>263</v>
      </c>
      <c r="G125" s="33">
        <v>419</v>
      </c>
      <c r="H125" s="42" t="str">
        <f>VLOOKUP($G125,lut,2,FALSE)</f>
        <v>Theresa</v>
      </c>
      <c r="I125" s="51" t="str">
        <f>VLOOKUP($G125,lut,3,FALSE)</f>
        <v>Koch</v>
      </c>
      <c r="J125" s="72" t="str">
        <f>VLOOKUP($G125,lut,4,FALSE)</f>
        <v>Kirchengasse 105, 8010 Graz, Österreich</v>
      </c>
      <c r="L125" s="48">
        <v>120</v>
      </c>
      <c r="M125" s="11" t="s">
        <v>44</v>
      </c>
      <c r="N125" s="11" t="s">
        <v>33</v>
      </c>
      <c r="O125" s="11" t="s">
        <v>222</v>
      </c>
    </row>
    <row r="126" spans="5:15">
      <c r="E126" s="32">
        <v>123</v>
      </c>
      <c r="F126" s="31">
        <f t="shared" ca="1" si="1"/>
        <v>523</v>
      </c>
      <c r="G126" s="33">
        <v>176</v>
      </c>
      <c r="H126" s="42" t="str">
        <f>VLOOKUP($G126,lut,2,FALSE)</f>
        <v>Lena</v>
      </c>
      <c r="I126" s="51" t="str">
        <f>VLOOKUP($G126,lut,3,FALSE)</f>
        <v>Stark</v>
      </c>
      <c r="J126" s="72" t="str">
        <f>VLOOKUP($G126,lut,4,FALSE)</f>
        <v>Favoritenstraße 109, 1010 Wien, Österreich</v>
      </c>
      <c r="L126" s="48">
        <v>121</v>
      </c>
      <c r="M126" s="11" t="s">
        <v>95</v>
      </c>
      <c r="N126" s="11" t="s">
        <v>179</v>
      </c>
      <c r="O126" s="11" t="s">
        <v>223</v>
      </c>
    </row>
    <row r="127" spans="5:15">
      <c r="E127" s="32">
        <v>124</v>
      </c>
      <c r="F127" s="31">
        <f t="shared" ca="1" si="1"/>
        <v>871</v>
      </c>
      <c r="G127" s="33">
        <v>419</v>
      </c>
      <c r="H127" s="42" t="str">
        <f>VLOOKUP($G127,lut,2,FALSE)</f>
        <v>Theresa</v>
      </c>
      <c r="I127" s="51" t="str">
        <f>VLOOKUP($G127,lut,3,FALSE)</f>
        <v>Koch</v>
      </c>
      <c r="J127" s="72" t="str">
        <f>VLOOKUP($G127,lut,4,FALSE)</f>
        <v>Kirchengasse 105, 8010 Graz, Österreich</v>
      </c>
      <c r="L127" s="48">
        <v>122</v>
      </c>
      <c r="M127" s="11" t="s">
        <v>77</v>
      </c>
      <c r="N127" s="11" t="s">
        <v>78</v>
      </c>
      <c r="O127" s="11" t="s">
        <v>224</v>
      </c>
    </row>
    <row r="128" spans="5:15">
      <c r="E128" s="32">
        <v>125</v>
      </c>
      <c r="F128" s="31">
        <f t="shared" ca="1" si="1"/>
        <v>251</v>
      </c>
      <c r="G128" s="33">
        <v>104</v>
      </c>
      <c r="H128" s="42" t="str">
        <f>VLOOKUP($G128,lut,2,FALSE)</f>
        <v>Raphael</v>
      </c>
      <c r="I128" s="51" t="str">
        <f>VLOOKUP($G128,lut,3,FALSE)</f>
        <v>Hofer</v>
      </c>
      <c r="J128" s="72" t="str">
        <f>VLOOKUP($G128,lut,4,FALSE)</f>
        <v>Waldring 62, 1100 Wien, Österreich</v>
      </c>
      <c r="L128" s="48">
        <v>123</v>
      </c>
      <c r="M128" s="11" t="s">
        <v>141</v>
      </c>
      <c r="N128" s="11" t="s">
        <v>57</v>
      </c>
      <c r="O128" s="11" t="s">
        <v>225</v>
      </c>
    </row>
    <row r="129" spans="5:15">
      <c r="E129" s="32">
        <v>126</v>
      </c>
      <c r="F129" s="31">
        <f t="shared" ca="1" si="1"/>
        <v>685</v>
      </c>
      <c r="G129" s="33">
        <v>54</v>
      </c>
      <c r="H129" s="42" t="str">
        <f>VLOOKUP($G129,lut,2,FALSE)</f>
        <v>Helena</v>
      </c>
      <c r="I129" s="51" t="str">
        <f>VLOOKUP($G129,lut,3,FALSE)</f>
        <v>Steiner</v>
      </c>
      <c r="J129" s="72" t="str">
        <f>VLOOKUP($G129,lut,4,FALSE)</f>
        <v>Hauptallee 159, 8010 Graz, Österreich</v>
      </c>
      <c r="L129" s="48">
        <v>124</v>
      </c>
      <c r="M129" s="11" t="s">
        <v>226</v>
      </c>
      <c r="N129" s="11" t="s">
        <v>39</v>
      </c>
      <c r="O129" s="11" t="s">
        <v>227</v>
      </c>
    </row>
    <row r="130" spans="5:15">
      <c r="E130" s="32">
        <v>127</v>
      </c>
      <c r="F130" s="31">
        <f t="shared" ca="1" si="1"/>
        <v>453</v>
      </c>
      <c r="G130" s="33">
        <v>421</v>
      </c>
      <c r="H130" s="42" t="str">
        <f>VLOOKUP($G130,lut,2,FALSE)</f>
        <v>Tobias</v>
      </c>
      <c r="I130" s="51" t="str">
        <f>VLOOKUP($G130,lut,3,FALSE)</f>
        <v>Maierhofer</v>
      </c>
      <c r="J130" s="72" t="str">
        <f>VLOOKUP($G130,lut,4,FALSE)</f>
        <v>WaldLindengasse 15, Stg. 3, Tür 13, 2700 Wiener Neustadt, Österreich</v>
      </c>
      <c r="L130" s="48">
        <v>125</v>
      </c>
      <c r="M130" s="11" t="s">
        <v>169</v>
      </c>
      <c r="N130" s="11" t="s">
        <v>122</v>
      </c>
      <c r="O130" s="11" t="s">
        <v>228</v>
      </c>
    </row>
    <row r="131" spans="5:15">
      <c r="E131" s="32">
        <v>128</v>
      </c>
      <c r="F131" s="31">
        <f t="shared" ca="1" si="1"/>
        <v>938</v>
      </c>
      <c r="G131" s="33">
        <v>709</v>
      </c>
      <c r="H131" s="42" t="str">
        <f>VLOOKUP($G131,lut,2,FALSE)</f>
        <v>Helena</v>
      </c>
      <c r="I131" s="51" t="str">
        <f>VLOOKUP($G131,lut,3,FALSE)</f>
        <v>Hofmann</v>
      </c>
      <c r="J131" s="72" t="str">
        <f>VLOOKUP($G131,lut,4,FALSE)</f>
        <v>IndustrieMühlkai 125, 3300 Amstetten, Österreich</v>
      </c>
      <c r="L131" s="48">
        <v>126</v>
      </c>
      <c r="M131" s="11" t="s">
        <v>229</v>
      </c>
      <c r="N131" s="11" t="s">
        <v>45</v>
      </c>
      <c r="O131" s="11" t="s">
        <v>230</v>
      </c>
    </row>
    <row r="132" spans="5:15">
      <c r="E132" s="32">
        <v>129</v>
      </c>
      <c r="F132" s="31">
        <f t="shared" ca="1" si="1"/>
        <v>464</v>
      </c>
      <c r="G132" s="33">
        <v>73</v>
      </c>
      <c r="H132" s="42" t="str">
        <f>VLOOKUP($G132,lut,2,FALSE)</f>
        <v>Carina</v>
      </c>
      <c r="I132" s="51" t="str">
        <f>VLOOKUP($G132,lut,3,FALSE)</f>
        <v>Lang</v>
      </c>
      <c r="J132" s="72" t="str">
        <f>VLOOKUP($G132,lut,4,FALSE)</f>
        <v>Bahnhofallee 161, 6020 Innsbruck, Österreich</v>
      </c>
      <c r="L132" s="48">
        <v>127</v>
      </c>
      <c r="M132" s="11" t="s">
        <v>231</v>
      </c>
      <c r="N132" s="11" t="s">
        <v>93</v>
      </c>
      <c r="O132" s="11" t="s">
        <v>232</v>
      </c>
    </row>
    <row r="133" spans="5:15">
      <c r="E133" s="32">
        <v>130</v>
      </c>
      <c r="F133" s="31">
        <f t="shared" ref="F133:G153" ca="1" si="2">RANDBETWEEN(1,1000)</f>
        <v>446</v>
      </c>
      <c r="G133" s="33">
        <v>917</v>
      </c>
      <c r="H133" s="42" t="str">
        <f>VLOOKUP($G133,lut,2,FALSE)</f>
        <v>Mia</v>
      </c>
      <c r="I133" s="51" t="str">
        <f>VLOOKUP($G133,lut,3,FALSE)</f>
        <v>Kraus</v>
      </c>
      <c r="J133" s="72" t="str">
        <f>VLOOKUP($G133,lut,4,FALSE)</f>
        <v>Gartenplatz 170, 1050 Wien, Österreich</v>
      </c>
      <c r="L133" s="48">
        <v>128</v>
      </c>
      <c r="M133" s="11" t="s">
        <v>226</v>
      </c>
      <c r="N133" s="11" t="s">
        <v>173</v>
      </c>
      <c r="O133" s="11" t="s">
        <v>233</v>
      </c>
    </row>
    <row r="134" spans="5:15">
      <c r="E134" s="32">
        <v>131</v>
      </c>
      <c r="F134" s="31">
        <f t="shared" ca="1" si="2"/>
        <v>930</v>
      </c>
      <c r="G134" s="33">
        <v>109</v>
      </c>
      <c r="H134" s="42" t="str">
        <f>VLOOKUP($G134,lut,2,FALSE)</f>
        <v>Moritz</v>
      </c>
      <c r="I134" s="51" t="str">
        <f>VLOOKUP($G134,lut,3,FALSE)</f>
        <v>Schreiner</v>
      </c>
      <c r="J134" s="72" t="str">
        <f>VLOOKUP($G134,lut,4,FALSE)</f>
        <v>Opernring 39, 3100 St. Pölten, Österreich</v>
      </c>
      <c r="L134" s="48">
        <v>129</v>
      </c>
      <c r="M134" s="11" t="s">
        <v>229</v>
      </c>
      <c r="N134" s="11" t="s">
        <v>54</v>
      </c>
      <c r="O134" s="11" t="s">
        <v>234</v>
      </c>
    </row>
    <row r="135" spans="5:15">
      <c r="E135" s="32">
        <v>132</v>
      </c>
      <c r="F135" s="31">
        <f t="shared" ca="1" si="2"/>
        <v>382</v>
      </c>
      <c r="G135" s="33">
        <v>475</v>
      </c>
      <c r="H135" s="42" t="str">
        <f>VLOOKUP($G135,lut,2,FALSE)</f>
        <v>Melanie</v>
      </c>
      <c r="I135" s="51" t="str">
        <f>VLOOKUP($G135,lut,3,FALSE)</f>
        <v>Koch</v>
      </c>
      <c r="J135" s="72" t="str">
        <f>VLOOKUP($G135,lut,4,FALSE)</f>
        <v>Parkallee 108, 6020 Innsbruck, Österreich</v>
      </c>
      <c r="L135" s="48">
        <v>130</v>
      </c>
      <c r="M135" s="11" t="s">
        <v>121</v>
      </c>
      <c r="N135" s="11" t="s">
        <v>96</v>
      </c>
      <c r="O135" s="11" t="s">
        <v>235</v>
      </c>
    </row>
    <row r="136" spans="5:15">
      <c r="E136" s="32">
        <v>133</v>
      </c>
      <c r="F136" s="31">
        <f t="shared" ca="1" si="2"/>
        <v>387</v>
      </c>
      <c r="G136" s="33">
        <v>76</v>
      </c>
      <c r="H136" s="42" t="str">
        <f>VLOOKUP($G136,lut,2,FALSE)</f>
        <v>Florian</v>
      </c>
      <c r="I136" s="51" t="str">
        <f>VLOOKUP($G136,lut,3,FALSE)</f>
        <v>König</v>
      </c>
      <c r="J136" s="72" t="str">
        <f>VLOOKUP($G136,lut,4,FALSE)</f>
        <v>FeldFavoritenplatz 167, 9020 Klagenfurt am Wörthersee, Österreich</v>
      </c>
      <c r="L136" s="48">
        <v>131</v>
      </c>
      <c r="M136" s="11" t="s">
        <v>77</v>
      </c>
      <c r="N136" s="11" t="s">
        <v>54</v>
      </c>
      <c r="O136" s="11" t="s">
        <v>236</v>
      </c>
    </row>
    <row r="137" spans="5:15">
      <c r="E137" s="32">
        <v>134</v>
      </c>
      <c r="F137" s="31">
        <f t="shared" ca="1" si="2"/>
        <v>896</v>
      </c>
      <c r="G137" s="33">
        <v>800</v>
      </c>
      <c r="H137" s="42" t="str">
        <f>VLOOKUP($G137,lut,2,FALSE)</f>
        <v>Georg</v>
      </c>
      <c r="I137" s="51" t="str">
        <f>VLOOKUP($G137,lut,3,FALSE)</f>
        <v>Hofer</v>
      </c>
      <c r="J137" s="72" t="str">
        <f>VLOOKUP($G137,lut,4,FALSE)</f>
        <v>Haydnplatz 30, 1010 Wien, Österreich</v>
      </c>
      <c r="L137" s="48">
        <v>132</v>
      </c>
      <c r="M137" s="11" t="s">
        <v>13</v>
      </c>
      <c r="N137" s="11" t="s">
        <v>96</v>
      </c>
      <c r="O137" s="11" t="s">
        <v>237</v>
      </c>
    </row>
    <row r="138" spans="5:15">
      <c r="E138" s="32">
        <v>135</v>
      </c>
      <c r="F138" s="31">
        <f t="shared" ca="1" si="2"/>
        <v>644</v>
      </c>
      <c r="G138" s="33">
        <v>938</v>
      </c>
      <c r="H138" s="42" t="str">
        <f>VLOOKUP($G138,lut,2,FALSE)</f>
        <v>Sebastian</v>
      </c>
      <c r="I138" s="51" t="str">
        <f>VLOOKUP($G138,lut,3,FALSE)</f>
        <v>Brunner</v>
      </c>
      <c r="J138" s="72" t="str">
        <f>VLOOKUP($G138,lut,4,FALSE)</f>
        <v>Mozartgasse 87, 5020 Salzburg, Österreich</v>
      </c>
      <c r="L138" s="48">
        <v>133</v>
      </c>
      <c r="M138" s="11" t="s">
        <v>121</v>
      </c>
      <c r="N138" s="11" t="s">
        <v>135</v>
      </c>
      <c r="O138" s="11" t="s">
        <v>238</v>
      </c>
    </row>
    <row r="139" spans="5:15">
      <c r="E139" s="32">
        <v>136</v>
      </c>
      <c r="F139" s="31">
        <f t="shared" ca="1" si="2"/>
        <v>655</v>
      </c>
      <c r="G139" s="33">
        <v>838</v>
      </c>
      <c r="H139" s="42" t="str">
        <f>VLOOKUP($G139,lut,2,FALSE)</f>
        <v>Daniel</v>
      </c>
      <c r="I139" s="51" t="str">
        <f>VLOOKUP($G139,lut,3,FALSE)</f>
        <v>Brunner</v>
      </c>
      <c r="J139" s="72" t="str">
        <f>VLOOKUP($G139,lut,4,FALSE)</f>
        <v>Parkkai 17, 2500 Baden, Österreich</v>
      </c>
      <c r="L139" s="48">
        <v>134</v>
      </c>
      <c r="M139" s="11" t="s">
        <v>16</v>
      </c>
      <c r="N139" s="11" t="s">
        <v>83</v>
      </c>
      <c r="O139" s="11" t="s">
        <v>239</v>
      </c>
    </row>
    <row r="140" spans="5:15">
      <c r="E140" s="32">
        <v>137</v>
      </c>
      <c r="F140" s="31">
        <f t="shared" ca="1" si="2"/>
        <v>371</v>
      </c>
      <c r="G140" s="33">
        <v>961</v>
      </c>
      <c r="H140" s="42" t="str">
        <f>VLOOKUP($G140,lut,2,FALSE)</f>
        <v>Georg</v>
      </c>
      <c r="I140" s="51" t="str">
        <f>VLOOKUP($G140,lut,3,FALSE)</f>
        <v>Berger</v>
      </c>
      <c r="J140" s="72" t="str">
        <f>VLOOKUP($G140,lut,4,FALSE)</f>
        <v>PromenadeKreuzgasse 161, 6020 Innsbruck, Österreich</v>
      </c>
      <c r="L140" s="48">
        <v>135</v>
      </c>
      <c r="M140" s="11" t="s">
        <v>141</v>
      </c>
      <c r="N140" s="11" t="s">
        <v>105</v>
      </c>
      <c r="O140" s="11" t="s">
        <v>240</v>
      </c>
    </row>
    <row r="141" spans="5:15">
      <c r="E141" s="32">
        <v>138</v>
      </c>
      <c r="F141" s="31">
        <f t="shared" ca="1" si="2"/>
        <v>672</v>
      </c>
      <c r="G141" s="33">
        <v>783</v>
      </c>
      <c r="H141" s="42" t="str">
        <f>VLOOKUP($G141,lut,2,FALSE)</f>
        <v>Philipp</v>
      </c>
      <c r="I141" s="51" t="str">
        <f>VLOOKUP($G141,lut,3,FALSE)</f>
        <v>Lang</v>
      </c>
      <c r="J141" s="72" t="str">
        <f>VLOOKUP($G141,lut,4,FALSE)</f>
        <v>Augartenweg 131, 5020 Salzburg, Österreich</v>
      </c>
      <c r="L141" s="48">
        <v>136</v>
      </c>
      <c r="M141" s="11" t="s">
        <v>231</v>
      </c>
      <c r="N141" s="11" t="s">
        <v>98</v>
      </c>
      <c r="O141" s="11" t="s">
        <v>241</v>
      </c>
    </row>
    <row r="142" spans="5:15">
      <c r="E142" s="32">
        <v>139</v>
      </c>
      <c r="F142" s="31">
        <f t="shared" ca="1" si="2"/>
        <v>926</v>
      </c>
      <c r="G142" s="33">
        <v>381</v>
      </c>
      <c r="H142" s="42" t="str">
        <f>VLOOKUP($G142,lut,2,FALSE)</f>
        <v>Paul</v>
      </c>
      <c r="I142" s="51" t="str">
        <f>VLOOKUP($G142,lut,3,FALSE)</f>
        <v>Berger</v>
      </c>
      <c r="J142" s="72" t="str">
        <f>VLOOKUP($G142,lut,4,FALSE)</f>
        <v>Mozartgasse 165, 3300 Amstetten, Österreich</v>
      </c>
      <c r="L142" s="48">
        <v>137</v>
      </c>
      <c r="M142" s="11" t="s">
        <v>116</v>
      </c>
      <c r="N142" s="11" t="s">
        <v>181</v>
      </c>
      <c r="O142" s="11" t="s">
        <v>242</v>
      </c>
    </row>
    <row r="143" spans="5:15">
      <c r="E143" s="32">
        <v>140</v>
      </c>
      <c r="F143" s="31">
        <f t="shared" ca="1" si="2"/>
        <v>761</v>
      </c>
      <c r="G143" s="33">
        <v>657</v>
      </c>
      <c r="H143" s="42" t="str">
        <f>VLOOKUP($G143,lut,2,FALSE)</f>
        <v>Paul</v>
      </c>
      <c r="I143" s="51" t="str">
        <f>VLOOKUP($G143,lut,3,FALSE)</f>
        <v>Jäger</v>
      </c>
      <c r="J143" s="72" t="str">
        <f>VLOOKUP($G143,lut,4,FALSE)</f>
        <v>Marktweg 98, 8010 Graz, Österreich</v>
      </c>
      <c r="L143" s="48">
        <v>138</v>
      </c>
      <c r="M143" s="11" t="s">
        <v>69</v>
      </c>
      <c r="N143" s="11" t="s">
        <v>65</v>
      </c>
      <c r="O143" s="11" t="s">
        <v>243</v>
      </c>
    </row>
    <row r="144" spans="5:15">
      <c r="E144" s="32">
        <v>141</v>
      </c>
      <c r="F144" s="31">
        <f t="shared" ca="1" si="2"/>
        <v>4</v>
      </c>
      <c r="G144" s="33">
        <v>205</v>
      </c>
      <c r="H144" s="42" t="str">
        <f>VLOOKUP($G144,lut,2,FALSE)</f>
        <v>Jakob</v>
      </c>
      <c r="I144" s="51" t="str">
        <f>VLOOKUP($G144,lut,3,FALSE)</f>
        <v>Wagner</v>
      </c>
      <c r="J144" s="72" t="str">
        <f>VLOOKUP($G144,lut,4,FALSE)</f>
        <v>Ahornplatz 144C, 6020 Innsbruck, Österreich</v>
      </c>
      <c r="L144" s="48">
        <v>139</v>
      </c>
      <c r="M144" s="11" t="s">
        <v>176</v>
      </c>
      <c r="N144" s="11" t="s">
        <v>14</v>
      </c>
      <c r="O144" s="11" t="s">
        <v>244</v>
      </c>
    </row>
    <row r="145" spans="5:15">
      <c r="E145" s="32">
        <v>142</v>
      </c>
      <c r="F145" s="31">
        <f t="shared" ca="1" si="2"/>
        <v>264</v>
      </c>
      <c r="G145" s="33">
        <v>907</v>
      </c>
      <c r="H145" s="42" t="str">
        <f>VLOOKUP($G145,lut,2,FALSE)</f>
        <v>Mia</v>
      </c>
      <c r="I145" s="51" t="str">
        <f>VLOOKUP($G145,lut,3,FALSE)</f>
        <v>Schmid</v>
      </c>
      <c r="J145" s="72" t="str">
        <f>VLOOKUP($G145,lut,4,FALSE)</f>
        <v>Kärntnerstraße 87, 4020 Linz, Österreich</v>
      </c>
      <c r="L145" s="48">
        <v>140</v>
      </c>
      <c r="M145" s="11" t="s">
        <v>124</v>
      </c>
      <c r="N145" s="11" t="s">
        <v>173</v>
      </c>
      <c r="O145" s="11" t="s">
        <v>245</v>
      </c>
    </row>
    <row r="146" spans="5:15">
      <c r="E146" s="32">
        <v>143</v>
      </c>
      <c r="F146" s="31">
        <f t="shared" ca="1" si="2"/>
        <v>430</v>
      </c>
      <c r="G146" s="33">
        <v>585</v>
      </c>
      <c r="H146" s="42" t="str">
        <f>VLOOKUP($G146,lut,2,FALSE)</f>
        <v>Carina</v>
      </c>
      <c r="I146" s="51" t="str">
        <f>VLOOKUP($G146,lut,3,FALSE)</f>
        <v>Leitner</v>
      </c>
      <c r="J146" s="72" t="str">
        <f>VLOOKUP($G146,lut,4,FALSE)</f>
        <v>Mozartkai 64, Stg. 6, Tür 7, 1020 Wien, Österreich</v>
      </c>
      <c r="L146" s="48">
        <v>141</v>
      </c>
      <c r="M146" s="11" t="s">
        <v>77</v>
      </c>
      <c r="N146" s="11" t="s">
        <v>80</v>
      </c>
      <c r="O146" s="11" t="s">
        <v>246</v>
      </c>
    </row>
    <row r="147" spans="5:15">
      <c r="E147" s="32">
        <v>144</v>
      </c>
      <c r="F147" s="31">
        <f t="shared" ca="1" si="2"/>
        <v>48</v>
      </c>
      <c r="G147" s="33">
        <v>207</v>
      </c>
      <c r="H147" s="42" t="str">
        <f>VLOOKUP($G147,lut,2,FALSE)</f>
        <v>Alexander</v>
      </c>
      <c r="I147" s="51" t="str">
        <f>VLOOKUP($G147,lut,3,FALSE)</f>
        <v>Schneider</v>
      </c>
      <c r="J147" s="72" t="str">
        <f>VLOOKUP($G147,lut,4,FALSE)</f>
        <v>PromenadeDöblingerring 75, 1060 Wien, Österreich</v>
      </c>
      <c r="L147" s="48">
        <v>142</v>
      </c>
      <c r="M147" s="11" t="s">
        <v>56</v>
      </c>
      <c r="N147" s="11" t="s">
        <v>212</v>
      </c>
      <c r="O147" s="11" t="s">
        <v>247</v>
      </c>
    </row>
    <row r="148" spans="5:15">
      <c r="E148" s="32">
        <v>145</v>
      </c>
      <c r="F148" s="31">
        <f t="shared" ca="1" si="2"/>
        <v>34</v>
      </c>
      <c r="G148" s="33">
        <v>640</v>
      </c>
      <c r="H148" s="42" t="str">
        <f>VLOOKUP($G148,lut,2,FALSE)</f>
        <v>Georg</v>
      </c>
      <c r="I148" s="51" t="str">
        <f>VLOOKUP($G148,lut,3,FALSE)</f>
        <v>Huber</v>
      </c>
      <c r="J148" s="72" t="str">
        <f>VLOOKUP($G148,lut,4,FALSE)</f>
        <v>RingLindenplatz 53D, 4020 Linz, Österreich</v>
      </c>
      <c r="L148" s="48">
        <v>143</v>
      </c>
      <c r="M148" s="11" t="s">
        <v>187</v>
      </c>
      <c r="N148" s="11" t="s">
        <v>51</v>
      </c>
      <c r="O148" s="11" t="s">
        <v>248</v>
      </c>
    </row>
    <row r="149" spans="5:15">
      <c r="E149" s="32">
        <v>146</v>
      </c>
      <c r="F149" s="31">
        <f t="shared" ca="1" si="2"/>
        <v>340</v>
      </c>
      <c r="G149" s="33">
        <v>838</v>
      </c>
      <c r="H149" s="42" t="str">
        <f>VLOOKUP($G149,lut,2,FALSE)</f>
        <v>Daniel</v>
      </c>
      <c r="I149" s="51" t="str">
        <f>VLOOKUP($G149,lut,3,FALSE)</f>
        <v>Brunner</v>
      </c>
      <c r="J149" s="72" t="str">
        <f>VLOOKUP($G149,lut,4,FALSE)</f>
        <v>Parkkai 17, 2500 Baden, Österreich</v>
      </c>
      <c r="L149" s="48">
        <v>144</v>
      </c>
      <c r="M149" s="11" t="s">
        <v>158</v>
      </c>
      <c r="N149" s="11" t="s">
        <v>61</v>
      </c>
      <c r="O149" s="11" t="s">
        <v>249</v>
      </c>
    </row>
    <row r="150" spans="5:15">
      <c r="E150" s="32">
        <v>147</v>
      </c>
      <c r="F150" s="31">
        <f t="shared" ca="1" si="2"/>
        <v>904</v>
      </c>
      <c r="G150" s="33">
        <v>306</v>
      </c>
      <c r="H150" s="42" t="str">
        <f>VLOOKUP($G150,lut,2,FALSE)</f>
        <v>Jakob</v>
      </c>
      <c r="I150" s="51" t="str">
        <f>VLOOKUP($G150,lut,3,FALSE)</f>
        <v>Maierhofer</v>
      </c>
      <c r="J150" s="72" t="str">
        <f>VLOOKUP($G150,lut,4,FALSE)</f>
        <v>Lindenallee 47, Stg. 6, Tür 30, 3430 Tulln, Österreich</v>
      </c>
      <c r="L150" s="48">
        <v>145</v>
      </c>
      <c r="M150" s="11" t="s">
        <v>67</v>
      </c>
      <c r="N150" s="11" t="s">
        <v>212</v>
      </c>
      <c r="O150" s="11" t="s">
        <v>250</v>
      </c>
    </row>
    <row r="151" spans="5:15">
      <c r="E151" s="32">
        <v>148</v>
      </c>
      <c r="F151" s="31">
        <f t="shared" ca="1" si="2"/>
        <v>149</v>
      </c>
      <c r="G151" s="33">
        <v>158</v>
      </c>
      <c r="H151" s="42" t="str">
        <f>VLOOKUP($G151,lut,2,FALSE)</f>
        <v>Emma</v>
      </c>
      <c r="I151" s="51" t="str">
        <f>VLOOKUP($G151,lut,3,FALSE)</f>
        <v>Haas</v>
      </c>
      <c r="J151" s="72" t="str">
        <f>VLOOKUP($G151,lut,4,FALSE)</f>
        <v>UniversitätsMarktstraße 55, 8010 Graz, Österreich</v>
      </c>
      <c r="L151" s="48">
        <v>146</v>
      </c>
      <c r="M151" s="11" t="s">
        <v>56</v>
      </c>
      <c r="N151" s="11" t="s">
        <v>127</v>
      </c>
      <c r="O151" s="11" t="s">
        <v>251</v>
      </c>
    </row>
    <row r="152" spans="5:15">
      <c r="E152" s="32">
        <v>149</v>
      </c>
      <c r="F152" s="31">
        <f t="shared" ca="1" si="2"/>
        <v>215</v>
      </c>
      <c r="G152" s="33">
        <v>78</v>
      </c>
      <c r="H152" s="42" t="str">
        <f>VLOOKUP($G152,lut,2,FALSE)</f>
        <v>Paul</v>
      </c>
      <c r="I152" s="51" t="str">
        <f>VLOOKUP($G152,lut,3,FALSE)</f>
        <v>Berger</v>
      </c>
      <c r="J152" s="72" t="str">
        <f>VLOOKUP($G152,lut,4,FALSE)</f>
        <v>Mariahilfergasse 146, 2380 Perchtoldsdorf, Österreich</v>
      </c>
      <c r="L152" s="48">
        <v>147</v>
      </c>
      <c r="M152" s="11" t="s">
        <v>160</v>
      </c>
      <c r="N152" s="11" t="s">
        <v>153</v>
      </c>
      <c r="O152" s="11" t="s">
        <v>252</v>
      </c>
    </row>
    <row r="153" spans="5:15">
      <c r="E153" s="32">
        <v>150</v>
      </c>
      <c r="F153" s="31">
        <f t="shared" ca="1" si="2"/>
        <v>923</v>
      </c>
      <c r="G153" s="33">
        <v>674</v>
      </c>
      <c r="H153" s="42" t="str">
        <f>VLOOKUP($G153,lut,2,FALSE)</f>
        <v>Marie</v>
      </c>
      <c r="I153" s="51" t="str">
        <f>VLOOKUP($G153,lut,3,FALSE)</f>
        <v>Seidl</v>
      </c>
      <c r="J153" s="72" t="str">
        <f>VLOOKUP($G153,lut,4,FALSE)</f>
        <v>Mozartring 30A, 5020 Salzburg, Österreich</v>
      </c>
      <c r="L153" s="48">
        <v>148</v>
      </c>
      <c r="M153" s="11" t="s">
        <v>124</v>
      </c>
      <c r="N153" s="11" t="s">
        <v>138</v>
      </c>
      <c r="O153" s="11" t="s">
        <v>253</v>
      </c>
    </row>
    <row r="154" spans="5:15">
      <c r="E154" s="32">
        <v>151</v>
      </c>
      <c r="F154" s="28"/>
      <c r="G154" s="33"/>
      <c r="H154" s="42"/>
      <c r="I154" s="51"/>
      <c r="J154" s="72"/>
      <c r="L154" s="48">
        <v>149</v>
      </c>
      <c r="M154" s="11" t="s">
        <v>130</v>
      </c>
      <c r="N154" s="11" t="s">
        <v>147</v>
      </c>
      <c r="O154" s="11" t="s">
        <v>254</v>
      </c>
    </row>
    <row r="155" spans="5:15">
      <c r="E155" s="32">
        <v>152</v>
      </c>
      <c r="F155" s="28"/>
      <c r="G155" s="33"/>
      <c r="H155" s="42"/>
      <c r="I155" s="51"/>
      <c r="J155" s="72"/>
      <c r="L155" s="48">
        <v>150</v>
      </c>
      <c r="M155" s="11" t="s">
        <v>77</v>
      </c>
      <c r="N155" s="11" t="s">
        <v>73</v>
      </c>
      <c r="O155" s="11" t="s">
        <v>255</v>
      </c>
    </row>
    <row r="156" spans="5:15">
      <c r="E156" s="32">
        <v>153</v>
      </c>
      <c r="F156" s="28"/>
      <c r="G156" s="33"/>
      <c r="H156" s="42"/>
      <c r="I156" s="51"/>
      <c r="J156" s="72"/>
      <c r="L156" s="48">
        <v>151</v>
      </c>
      <c r="M156" s="11" t="s">
        <v>231</v>
      </c>
      <c r="N156" s="11" t="s">
        <v>14</v>
      </c>
      <c r="O156" s="11" t="s">
        <v>256</v>
      </c>
    </row>
    <row r="157" spans="5:15">
      <c r="E157" s="32">
        <v>154</v>
      </c>
      <c r="F157" s="28"/>
      <c r="G157" s="33"/>
      <c r="H157" s="42"/>
      <c r="I157" s="51"/>
      <c r="J157" s="72"/>
      <c r="L157" s="48">
        <v>152</v>
      </c>
      <c r="M157" s="11" t="s">
        <v>67</v>
      </c>
      <c r="N157" s="11" t="s">
        <v>138</v>
      </c>
      <c r="O157" s="11" t="s">
        <v>257</v>
      </c>
    </row>
    <row r="158" spans="5:15">
      <c r="E158" s="32">
        <v>155</v>
      </c>
      <c r="F158" s="28"/>
      <c r="G158" s="33"/>
      <c r="H158" s="42"/>
      <c r="I158" s="51"/>
      <c r="J158" s="72"/>
      <c r="L158" s="48">
        <v>153</v>
      </c>
      <c r="M158" s="11" t="s">
        <v>169</v>
      </c>
      <c r="N158" s="11" t="s">
        <v>177</v>
      </c>
      <c r="O158" s="11" t="s">
        <v>258</v>
      </c>
    </row>
    <row r="159" spans="5:15">
      <c r="E159" s="32">
        <v>156</v>
      </c>
      <c r="F159" s="28"/>
      <c r="G159" s="33"/>
      <c r="H159" s="42"/>
      <c r="I159" s="51"/>
      <c r="J159" s="72"/>
      <c r="L159" s="48">
        <v>154</v>
      </c>
      <c r="M159" s="11" t="s">
        <v>30</v>
      </c>
      <c r="N159" s="11" t="s">
        <v>173</v>
      </c>
      <c r="O159" s="11" t="s">
        <v>259</v>
      </c>
    </row>
    <row r="160" spans="5:15">
      <c r="E160" s="32">
        <v>157</v>
      </c>
      <c r="F160" s="28"/>
      <c r="G160" s="33"/>
      <c r="H160" s="42"/>
      <c r="I160" s="51"/>
      <c r="J160" s="72"/>
      <c r="L160" s="48">
        <v>155</v>
      </c>
      <c r="M160" s="11" t="s">
        <v>118</v>
      </c>
      <c r="N160" s="11" t="s">
        <v>39</v>
      </c>
      <c r="O160" s="11" t="s">
        <v>260</v>
      </c>
    </row>
    <row r="161" spans="5:15">
      <c r="E161" s="32">
        <v>158</v>
      </c>
      <c r="F161" s="28"/>
      <c r="G161" s="33"/>
      <c r="H161" s="42"/>
      <c r="I161" s="51"/>
      <c r="J161" s="72"/>
      <c r="L161" s="48">
        <v>156</v>
      </c>
      <c r="M161" s="11" t="s">
        <v>141</v>
      </c>
      <c r="N161" s="11" t="s">
        <v>80</v>
      </c>
      <c r="O161" s="11" t="s">
        <v>261</v>
      </c>
    </row>
    <row r="162" spans="5:15">
      <c r="E162" s="32">
        <v>159</v>
      </c>
      <c r="F162" s="28"/>
      <c r="G162" s="33"/>
      <c r="H162" s="42"/>
      <c r="I162" s="51"/>
      <c r="J162" s="72"/>
      <c r="L162" s="48">
        <v>157</v>
      </c>
      <c r="M162" s="11" t="s">
        <v>25</v>
      </c>
      <c r="N162" s="11" t="s">
        <v>75</v>
      </c>
      <c r="O162" s="11" t="s">
        <v>262</v>
      </c>
    </row>
    <row r="163" spans="5:15">
      <c r="E163" s="32">
        <v>160</v>
      </c>
      <c r="F163" s="28"/>
      <c r="G163" s="33"/>
      <c r="H163" s="42"/>
      <c r="I163" s="51"/>
      <c r="J163" s="72"/>
      <c r="L163" s="48">
        <v>158</v>
      </c>
      <c r="M163" s="11" t="s">
        <v>263</v>
      </c>
      <c r="N163" s="11" t="s">
        <v>127</v>
      </c>
      <c r="O163" s="11" t="s">
        <v>264</v>
      </c>
    </row>
    <row r="164" spans="5:15">
      <c r="E164" s="32">
        <v>161</v>
      </c>
      <c r="F164" s="28"/>
      <c r="G164" s="33"/>
      <c r="H164" s="42"/>
      <c r="I164" s="51"/>
      <c r="J164" s="72"/>
      <c r="L164" s="48">
        <v>159</v>
      </c>
      <c r="M164" s="11" t="s">
        <v>118</v>
      </c>
      <c r="N164" s="11" t="s">
        <v>14</v>
      </c>
      <c r="O164" s="11" t="s">
        <v>265</v>
      </c>
    </row>
    <row r="165" spans="5:15">
      <c r="E165" s="32">
        <v>162</v>
      </c>
      <c r="F165" s="28"/>
      <c r="G165" s="33"/>
      <c r="H165" s="42"/>
      <c r="I165" s="51"/>
      <c r="J165" s="72"/>
      <c r="L165" s="48">
        <v>160</v>
      </c>
      <c r="M165" s="11" t="s">
        <v>197</v>
      </c>
      <c r="N165" s="11" t="s">
        <v>33</v>
      </c>
      <c r="O165" s="11" t="s">
        <v>266</v>
      </c>
    </row>
    <row r="166" spans="5:15">
      <c r="E166" s="32">
        <v>163</v>
      </c>
      <c r="F166" s="28"/>
      <c r="G166" s="33"/>
      <c r="H166" s="42"/>
      <c r="I166" s="51"/>
      <c r="J166" s="72"/>
      <c r="L166" s="48">
        <v>161</v>
      </c>
      <c r="M166" s="11" t="s">
        <v>118</v>
      </c>
      <c r="N166" s="11" t="s">
        <v>73</v>
      </c>
      <c r="O166" s="11" t="s">
        <v>267</v>
      </c>
    </row>
    <row r="167" spans="5:15">
      <c r="E167" s="32">
        <v>164</v>
      </c>
      <c r="F167" s="28"/>
      <c r="G167" s="33"/>
      <c r="H167" s="39"/>
      <c r="I167" s="52"/>
      <c r="J167" s="73"/>
      <c r="L167" s="48">
        <v>162</v>
      </c>
      <c r="M167" s="11" t="s">
        <v>118</v>
      </c>
      <c r="N167" s="11" t="s">
        <v>36</v>
      </c>
      <c r="O167" s="11" t="s">
        <v>268</v>
      </c>
    </row>
    <row r="168" spans="5:15">
      <c r="E168" s="32">
        <v>165</v>
      </c>
      <c r="F168" s="28"/>
      <c r="G168" s="33"/>
      <c r="H168" s="39"/>
      <c r="I168" s="52"/>
      <c r="J168" s="73"/>
      <c r="L168" s="48">
        <v>163</v>
      </c>
      <c r="M168" s="11" t="s">
        <v>47</v>
      </c>
      <c r="N168" s="11" t="s">
        <v>93</v>
      </c>
      <c r="O168" s="11" t="s">
        <v>269</v>
      </c>
    </row>
    <row r="169" spans="5:15">
      <c r="E169" s="32">
        <v>166</v>
      </c>
      <c r="F169" s="28"/>
      <c r="G169" s="33"/>
      <c r="H169" s="39"/>
      <c r="I169" s="52"/>
      <c r="J169" s="73"/>
      <c r="L169" s="48">
        <v>164</v>
      </c>
      <c r="M169" s="11" t="s">
        <v>90</v>
      </c>
      <c r="N169" s="11" t="s">
        <v>59</v>
      </c>
      <c r="O169" s="11" t="s">
        <v>270</v>
      </c>
    </row>
    <row r="170" spans="5:15">
      <c r="E170" s="32">
        <v>167</v>
      </c>
      <c r="F170" s="28"/>
      <c r="G170" s="33"/>
      <c r="H170" s="39"/>
      <c r="I170" s="52"/>
      <c r="J170" s="73"/>
      <c r="L170" s="48">
        <v>165</v>
      </c>
      <c r="M170" s="11" t="s">
        <v>35</v>
      </c>
      <c r="N170" s="11" t="s">
        <v>135</v>
      </c>
      <c r="O170" s="11" t="s">
        <v>271</v>
      </c>
    </row>
    <row r="171" spans="5:15">
      <c r="E171" s="32">
        <v>168</v>
      </c>
      <c r="F171" s="28"/>
      <c r="G171" s="33"/>
      <c r="H171" s="39"/>
      <c r="I171" s="52"/>
      <c r="J171" s="73"/>
      <c r="L171" s="48">
        <v>166</v>
      </c>
      <c r="M171" s="11" t="s">
        <v>56</v>
      </c>
      <c r="N171" s="11" t="s">
        <v>147</v>
      </c>
      <c r="O171" s="11" t="s">
        <v>272</v>
      </c>
    </row>
    <row r="172" spans="5:15">
      <c r="E172" s="32">
        <v>169</v>
      </c>
      <c r="F172" s="28"/>
      <c r="G172" s="33"/>
      <c r="H172" s="39"/>
      <c r="I172" s="52"/>
      <c r="J172" s="73"/>
      <c r="L172" s="48">
        <v>167</v>
      </c>
      <c r="M172" s="11" t="s">
        <v>220</v>
      </c>
      <c r="N172" s="11" t="s">
        <v>61</v>
      </c>
      <c r="O172" s="11" t="s">
        <v>273</v>
      </c>
    </row>
    <row r="173" spans="5:15">
      <c r="E173" s="32">
        <v>170</v>
      </c>
      <c r="F173" s="28"/>
      <c r="G173" s="33"/>
      <c r="H173" s="39"/>
      <c r="I173" s="52"/>
      <c r="J173" s="73"/>
      <c r="L173" s="48">
        <v>168</v>
      </c>
      <c r="M173" s="11" t="s">
        <v>69</v>
      </c>
      <c r="N173" s="11" t="s">
        <v>181</v>
      </c>
      <c r="O173" s="11" t="s">
        <v>274</v>
      </c>
    </row>
    <row r="174" spans="5:15">
      <c r="E174" s="32">
        <v>171</v>
      </c>
      <c r="F174" s="28"/>
      <c r="G174" s="33"/>
      <c r="H174" s="39"/>
      <c r="I174" s="52"/>
      <c r="J174" s="73"/>
      <c r="L174" s="48">
        <v>169</v>
      </c>
      <c r="M174" s="11" t="s">
        <v>50</v>
      </c>
      <c r="N174" s="11" t="s">
        <v>59</v>
      </c>
      <c r="O174" s="11" t="s">
        <v>275</v>
      </c>
    </row>
    <row r="175" spans="5:15">
      <c r="E175" s="32">
        <v>172</v>
      </c>
      <c r="F175" s="28"/>
      <c r="G175" s="33"/>
      <c r="H175" s="39"/>
      <c r="I175" s="52"/>
      <c r="J175" s="73"/>
      <c r="L175" s="48">
        <v>170</v>
      </c>
      <c r="M175" s="11" t="s">
        <v>133</v>
      </c>
      <c r="N175" s="11" t="s">
        <v>61</v>
      </c>
      <c r="O175" s="11" t="s">
        <v>276</v>
      </c>
    </row>
    <row r="176" spans="5:15">
      <c r="E176" s="32">
        <v>173</v>
      </c>
      <c r="F176" s="28"/>
      <c r="G176" s="33"/>
      <c r="H176" s="39"/>
      <c r="I176" s="52"/>
      <c r="J176" s="73"/>
      <c r="L176" s="48">
        <v>171</v>
      </c>
      <c r="M176" s="11" t="s">
        <v>22</v>
      </c>
      <c r="N176" s="11" t="s">
        <v>42</v>
      </c>
      <c r="O176" s="11" t="s">
        <v>277</v>
      </c>
    </row>
    <row r="177" spans="5:15">
      <c r="E177" s="32">
        <v>174</v>
      </c>
      <c r="F177" s="28"/>
      <c r="G177" s="33"/>
      <c r="H177" s="39"/>
      <c r="I177" s="52"/>
      <c r="J177" s="73"/>
      <c r="L177" s="48">
        <v>172</v>
      </c>
      <c r="M177" s="11" t="s">
        <v>90</v>
      </c>
      <c r="N177" s="11" t="s">
        <v>93</v>
      </c>
      <c r="O177" s="11" t="s">
        <v>278</v>
      </c>
    </row>
    <row r="178" spans="5:15">
      <c r="E178" s="32">
        <v>175</v>
      </c>
      <c r="F178" s="28"/>
      <c r="G178" s="33"/>
      <c r="H178" s="39"/>
      <c r="I178" s="52"/>
      <c r="J178" s="73"/>
      <c r="L178" s="48">
        <v>173</v>
      </c>
      <c r="M178" s="11" t="s">
        <v>50</v>
      </c>
      <c r="N178" s="11" t="s">
        <v>181</v>
      </c>
      <c r="O178" s="11" t="s">
        <v>279</v>
      </c>
    </row>
    <row r="179" spans="5:15">
      <c r="E179" s="32">
        <v>176</v>
      </c>
      <c r="F179" s="28"/>
      <c r="G179" s="33"/>
      <c r="H179" s="39"/>
      <c r="I179" s="52"/>
      <c r="J179" s="73"/>
      <c r="L179" s="48">
        <v>174</v>
      </c>
      <c r="M179" s="11" t="s">
        <v>130</v>
      </c>
      <c r="N179" s="11" t="s">
        <v>26</v>
      </c>
      <c r="O179" s="11" t="s">
        <v>280</v>
      </c>
    </row>
    <row r="180" spans="5:15">
      <c r="E180" s="32">
        <v>177</v>
      </c>
      <c r="F180" s="28"/>
      <c r="G180" s="33"/>
      <c r="H180" s="39"/>
      <c r="I180" s="52"/>
      <c r="J180" s="73"/>
      <c r="L180" s="48">
        <v>175</v>
      </c>
      <c r="M180" s="11" t="s">
        <v>47</v>
      </c>
      <c r="N180" s="11" t="s">
        <v>45</v>
      </c>
      <c r="O180" s="11" t="s">
        <v>281</v>
      </c>
    </row>
    <row r="181" spans="5:15">
      <c r="E181" s="32">
        <v>178</v>
      </c>
      <c r="F181" s="28"/>
      <c r="G181" s="33"/>
      <c r="H181" s="39"/>
      <c r="I181" s="52"/>
      <c r="J181" s="73"/>
      <c r="L181" s="48">
        <v>176</v>
      </c>
      <c r="M181" s="11" t="s">
        <v>124</v>
      </c>
      <c r="N181" s="11" t="s">
        <v>33</v>
      </c>
      <c r="O181" s="11" t="s">
        <v>282</v>
      </c>
    </row>
    <row r="182" spans="5:15">
      <c r="E182" s="32">
        <v>179</v>
      </c>
      <c r="F182" s="28"/>
      <c r="G182" s="33"/>
      <c r="H182" s="39"/>
      <c r="I182" s="52"/>
      <c r="J182" s="73"/>
      <c r="L182" s="48">
        <v>177</v>
      </c>
      <c r="M182" s="11" t="s">
        <v>176</v>
      </c>
      <c r="N182" s="11" t="s">
        <v>65</v>
      </c>
      <c r="O182" s="11" t="s">
        <v>283</v>
      </c>
    </row>
    <row r="183" spans="5:15">
      <c r="E183" s="32">
        <v>180</v>
      </c>
      <c r="F183" s="28"/>
      <c r="G183" s="33"/>
      <c r="H183" s="39"/>
      <c r="I183" s="52"/>
      <c r="J183" s="73"/>
      <c r="L183" s="48">
        <v>178</v>
      </c>
      <c r="M183" s="11" t="s">
        <v>38</v>
      </c>
      <c r="N183" s="11" t="s">
        <v>98</v>
      </c>
      <c r="O183" s="11" t="s">
        <v>284</v>
      </c>
    </row>
    <row r="184" spans="5:15">
      <c r="E184" s="32">
        <v>181</v>
      </c>
      <c r="F184" s="28"/>
      <c r="G184" s="33"/>
      <c r="H184" s="39"/>
      <c r="I184" s="52"/>
      <c r="J184" s="73"/>
      <c r="L184" s="48">
        <v>179</v>
      </c>
      <c r="M184" s="11" t="s">
        <v>82</v>
      </c>
      <c r="N184" s="11" t="s">
        <v>122</v>
      </c>
      <c r="O184" s="11" t="s">
        <v>285</v>
      </c>
    </row>
    <row r="185" spans="5:15">
      <c r="E185" s="32">
        <v>182</v>
      </c>
      <c r="F185" s="28"/>
      <c r="G185" s="33"/>
      <c r="H185" s="39"/>
      <c r="I185" s="52"/>
      <c r="J185" s="73"/>
      <c r="L185" s="48">
        <v>180</v>
      </c>
      <c r="M185" s="11" t="s">
        <v>169</v>
      </c>
      <c r="N185" s="11" t="s">
        <v>173</v>
      </c>
      <c r="O185" s="11" t="s">
        <v>286</v>
      </c>
    </row>
    <row r="186" spans="5:15">
      <c r="E186" s="32">
        <v>183</v>
      </c>
      <c r="F186" s="28"/>
      <c r="G186" s="33"/>
      <c r="H186" s="39"/>
      <c r="I186" s="52"/>
      <c r="J186" s="73"/>
      <c r="L186" s="48">
        <v>181</v>
      </c>
      <c r="M186" s="11" t="s">
        <v>133</v>
      </c>
      <c r="N186" s="11" t="s">
        <v>48</v>
      </c>
      <c r="O186" s="11" t="s">
        <v>287</v>
      </c>
    </row>
    <row r="187" spans="5:15">
      <c r="E187" s="32">
        <v>184</v>
      </c>
      <c r="F187" s="28"/>
      <c r="G187" s="33"/>
      <c r="H187" s="39"/>
      <c r="I187" s="52"/>
      <c r="J187" s="73"/>
      <c r="L187" s="48">
        <v>182</v>
      </c>
      <c r="M187" s="11" t="s">
        <v>82</v>
      </c>
      <c r="N187" s="11" t="s">
        <v>125</v>
      </c>
      <c r="O187" s="11" t="s">
        <v>288</v>
      </c>
    </row>
    <row r="188" spans="5:15">
      <c r="E188" s="32">
        <v>185</v>
      </c>
      <c r="F188" s="28"/>
      <c r="G188" s="33"/>
      <c r="H188" s="39"/>
      <c r="I188" s="52"/>
      <c r="J188" s="73"/>
      <c r="L188" s="48">
        <v>183</v>
      </c>
      <c r="M188" s="11" t="s">
        <v>77</v>
      </c>
      <c r="N188" s="11" t="s">
        <v>42</v>
      </c>
      <c r="O188" s="11" t="s">
        <v>289</v>
      </c>
    </row>
    <row r="189" spans="5:15">
      <c r="E189" s="32">
        <v>186</v>
      </c>
      <c r="F189" s="28"/>
      <c r="G189" s="33"/>
      <c r="H189" s="39"/>
      <c r="I189" s="52"/>
      <c r="J189" s="73"/>
      <c r="L189" s="48">
        <v>184</v>
      </c>
      <c r="M189" s="11" t="s">
        <v>263</v>
      </c>
      <c r="N189" s="11" t="s">
        <v>80</v>
      </c>
      <c r="O189" s="11" t="s">
        <v>290</v>
      </c>
    </row>
    <row r="190" spans="5:15">
      <c r="E190" s="32">
        <v>187</v>
      </c>
      <c r="F190" s="28"/>
      <c r="G190" s="33"/>
      <c r="H190" s="39"/>
      <c r="I190" s="52"/>
      <c r="J190" s="73"/>
      <c r="L190" s="48">
        <v>185</v>
      </c>
      <c r="M190" s="11" t="s">
        <v>30</v>
      </c>
      <c r="N190" s="11" t="s">
        <v>48</v>
      </c>
      <c r="O190" s="11" t="s">
        <v>291</v>
      </c>
    </row>
    <row r="191" spans="5:15">
      <c r="E191" s="32">
        <v>188</v>
      </c>
      <c r="F191" s="28"/>
      <c r="G191" s="33"/>
      <c r="H191" s="39"/>
      <c r="I191" s="52"/>
      <c r="J191" s="73"/>
      <c r="L191" s="48">
        <v>186</v>
      </c>
      <c r="M191" s="11" t="s">
        <v>203</v>
      </c>
      <c r="N191" s="11" t="s">
        <v>45</v>
      </c>
      <c r="O191" s="11" t="s">
        <v>292</v>
      </c>
    </row>
    <row r="192" spans="5:15">
      <c r="E192" s="32">
        <v>189</v>
      </c>
      <c r="F192" s="28"/>
      <c r="G192" s="33"/>
      <c r="H192" s="39"/>
      <c r="I192" s="52"/>
      <c r="J192" s="73"/>
      <c r="L192" s="48">
        <v>187</v>
      </c>
      <c r="M192" s="11" t="s">
        <v>293</v>
      </c>
      <c r="N192" s="11" t="s">
        <v>80</v>
      </c>
      <c r="O192" s="11" t="s">
        <v>294</v>
      </c>
    </row>
    <row r="193" spans="5:15">
      <c r="E193" s="32">
        <v>190</v>
      </c>
      <c r="F193" s="28"/>
      <c r="G193" s="33"/>
      <c r="H193" s="39"/>
      <c r="I193" s="52"/>
      <c r="J193" s="73"/>
      <c r="L193" s="48">
        <v>188</v>
      </c>
      <c r="M193" s="11" t="s">
        <v>229</v>
      </c>
      <c r="N193" s="11" t="s">
        <v>26</v>
      </c>
      <c r="O193" s="11" t="s">
        <v>295</v>
      </c>
    </row>
    <row r="194" spans="5:15">
      <c r="E194" s="32">
        <v>191</v>
      </c>
      <c r="F194" s="28"/>
      <c r="G194" s="33"/>
      <c r="H194" s="39"/>
      <c r="I194" s="52"/>
      <c r="J194" s="73"/>
      <c r="L194" s="48">
        <v>189</v>
      </c>
      <c r="M194" s="11" t="s">
        <v>13</v>
      </c>
      <c r="N194" s="11" t="s">
        <v>28</v>
      </c>
      <c r="O194" s="11" t="s">
        <v>296</v>
      </c>
    </row>
    <row r="195" spans="5:15">
      <c r="E195" s="32">
        <v>192</v>
      </c>
      <c r="F195" s="28"/>
      <c r="G195" s="33"/>
      <c r="H195" s="39"/>
      <c r="I195" s="52"/>
      <c r="J195" s="73"/>
      <c r="L195" s="48">
        <v>190</v>
      </c>
      <c r="M195" s="11" t="s">
        <v>35</v>
      </c>
      <c r="N195" s="11" t="s">
        <v>42</v>
      </c>
      <c r="O195" s="11" t="s">
        <v>297</v>
      </c>
    </row>
    <row r="196" spans="5:15">
      <c r="E196" s="32">
        <v>193</v>
      </c>
      <c r="F196" s="28"/>
      <c r="G196" s="33"/>
      <c r="H196" s="39"/>
      <c r="I196" s="52"/>
      <c r="J196" s="73"/>
      <c r="L196" s="48">
        <v>191</v>
      </c>
      <c r="M196" s="11" t="s">
        <v>130</v>
      </c>
      <c r="N196" s="11" t="s">
        <v>33</v>
      </c>
      <c r="O196" s="11" t="s">
        <v>298</v>
      </c>
    </row>
    <row r="197" spans="5:15">
      <c r="E197" s="32">
        <v>194</v>
      </c>
      <c r="F197" s="28"/>
      <c r="G197" s="33"/>
      <c r="H197" s="39"/>
      <c r="I197" s="52"/>
      <c r="J197" s="73"/>
      <c r="L197" s="48">
        <v>192</v>
      </c>
      <c r="M197" s="11" t="s">
        <v>299</v>
      </c>
      <c r="N197" s="11" t="s">
        <v>138</v>
      </c>
      <c r="O197" s="11" t="s">
        <v>300</v>
      </c>
    </row>
    <row r="198" spans="5:15">
      <c r="E198" s="32">
        <v>195</v>
      </c>
      <c r="F198" s="28"/>
      <c r="G198" s="33"/>
      <c r="H198" s="39"/>
      <c r="I198" s="52"/>
      <c r="J198" s="73"/>
      <c r="L198" s="48">
        <v>193</v>
      </c>
      <c r="M198" s="11" t="s">
        <v>116</v>
      </c>
      <c r="N198" s="11" t="s">
        <v>108</v>
      </c>
      <c r="O198" s="11" t="s">
        <v>301</v>
      </c>
    </row>
    <row r="199" spans="5:15">
      <c r="E199" s="32">
        <v>196</v>
      </c>
      <c r="F199" s="28"/>
      <c r="G199" s="33"/>
      <c r="H199" s="39"/>
      <c r="I199" s="52"/>
      <c r="J199" s="73"/>
      <c r="L199" s="48">
        <v>194</v>
      </c>
      <c r="M199" s="11" t="s">
        <v>22</v>
      </c>
      <c r="N199" s="11" t="s">
        <v>212</v>
      </c>
      <c r="O199" s="11" t="s">
        <v>302</v>
      </c>
    </row>
    <row r="200" spans="5:15">
      <c r="E200" s="32">
        <v>197</v>
      </c>
      <c r="F200" s="28"/>
      <c r="G200" s="33"/>
      <c r="H200" s="39"/>
      <c r="I200" s="52"/>
      <c r="J200" s="73"/>
      <c r="L200" s="48">
        <v>195</v>
      </c>
      <c r="M200" s="11" t="s">
        <v>124</v>
      </c>
      <c r="N200" s="11" t="s">
        <v>51</v>
      </c>
      <c r="O200" s="11" t="s">
        <v>303</v>
      </c>
    </row>
    <row r="201" spans="5:15">
      <c r="E201" s="32">
        <v>198</v>
      </c>
      <c r="F201" s="28"/>
      <c r="G201" s="33"/>
      <c r="H201" s="39"/>
      <c r="I201" s="52"/>
      <c r="J201" s="73"/>
      <c r="L201" s="48">
        <v>196</v>
      </c>
      <c r="M201" s="11" t="s">
        <v>95</v>
      </c>
      <c r="N201" s="11" t="s">
        <v>59</v>
      </c>
      <c r="O201" s="11" t="s">
        <v>304</v>
      </c>
    </row>
    <row r="202" spans="5:15">
      <c r="E202" s="32">
        <v>199</v>
      </c>
      <c r="F202" s="28"/>
      <c r="G202" s="33"/>
      <c r="H202" s="39"/>
      <c r="I202" s="52"/>
      <c r="J202" s="73"/>
      <c r="L202" s="48">
        <v>197</v>
      </c>
      <c r="M202" s="11" t="s">
        <v>38</v>
      </c>
      <c r="N202" s="11" t="s">
        <v>181</v>
      </c>
      <c r="O202" s="11" t="s">
        <v>305</v>
      </c>
    </row>
    <row r="203" spans="5:15">
      <c r="E203" s="32">
        <v>200</v>
      </c>
      <c r="F203" s="28"/>
      <c r="G203" s="33"/>
      <c r="H203" s="39"/>
      <c r="I203" s="52"/>
      <c r="J203" s="73"/>
      <c r="L203" s="48">
        <v>198</v>
      </c>
      <c r="M203" s="11" t="s">
        <v>210</v>
      </c>
      <c r="N203" s="11" t="s">
        <v>142</v>
      </c>
      <c r="O203" s="11" t="s">
        <v>306</v>
      </c>
    </row>
    <row r="204" spans="5:15">
      <c r="E204" s="32">
        <v>201</v>
      </c>
      <c r="F204" s="28"/>
      <c r="G204" s="33"/>
      <c r="H204" s="39"/>
      <c r="I204" s="52"/>
      <c r="J204" s="73"/>
      <c r="L204" s="48">
        <v>199</v>
      </c>
      <c r="M204" s="11" t="s">
        <v>30</v>
      </c>
      <c r="N204" s="11" t="s">
        <v>122</v>
      </c>
      <c r="O204" s="11" t="s">
        <v>307</v>
      </c>
    </row>
    <row r="205" spans="5:15">
      <c r="E205" s="32">
        <v>202</v>
      </c>
      <c r="F205" s="28"/>
      <c r="G205" s="33"/>
      <c r="H205" s="39"/>
      <c r="I205" s="52"/>
      <c r="J205" s="73"/>
      <c r="L205" s="48">
        <v>200</v>
      </c>
      <c r="M205" s="11" t="s">
        <v>95</v>
      </c>
      <c r="N205" s="11" t="s">
        <v>80</v>
      </c>
      <c r="O205" s="11" t="s">
        <v>308</v>
      </c>
    </row>
    <row r="206" spans="5:15">
      <c r="E206" s="32">
        <v>203</v>
      </c>
      <c r="F206" s="28"/>
      <c r="G206" s="33"/>
      <c r="H206" s="39"/>
      <c r="I206" s="52"/>
      <c r="J206" s="73"/>
      <c r="L206" s="48">
        <v>201</v>
      </c>
      <c r="M206" s="11" t="s">
        <v>64</v>
      </c>
      <c r="N206" s="11" t="s">
        <v>23</v>
      </c>
      <c r="O206" s="11" t="s">
        <v>309</v>
      </c>
    </row>
    <row r="207" spans="5:15">
      <c r="E207" s="32">
        <v>204</v>
      </c>
      <c r="F207" s="28"/>
      <c r="G207" s="33"/>
      <c r="H207" s="39"/>
      <c r="I207" s="52"/>
      <c r="J207" s="73"/>
      <c r="L207" s="48">
        <v>202</v>
      </c>
      <c r="M207" s="11" t="s">
        <v>82</v>
      </c>
      <c r="N207" s="11" t="s">
        <v>193</v>
      </c>
      <c r="O207" s="11" t="s">
        <v>310</v>
      </c>
    </row>
    <row r="208" spans="5:15">
      <c r="E208" s="32">
        <v>205</v>
      </c>
      <c r="F208" s="28"/>
      <c r="G208" s="33"/>
      <c r="H208" s="39"/>
      <c r="I208" s="52"/>
      <c r="J208" s="73"/>
      <c r="L208" s="48">
        <v>203</v>
      </c>
      <c r="M208" s="11" t="s">
        <v>231</v>
      </c>
      <c r="N208" s="11" t="s">
        <v>48</v>
      </c>
      <c r="O208" s="11" t="s">
        <v>311</v>
      </c>
    </row>
    <row r="209" spans="5:15">
      <c r="E209" s="32">
        <v>206</v>
      </c>
      <c r="F209" s="28"/>
      <c r="G209" s="33"/>
      <c r="H209" s="39"/>
      <c r="I209" s="52"/>
      <c r="J209" s="73"/>
      <c r="L209" s="48">
        <v>204</v>
      </c>
      <c r="M209" s="11" t="s">
        <v>169</v>
      </c>
      <c r="N209" s="11" t="s">
        <v>51</v>
      </c>
      <c r="O209" s="11" t="s">
        <v>312</v>
      </c>
    </row>
    <row r="210" spans="5:15">
      <c r="E210" s="32">
        <v>207</v>
      </c>
      <c r="F210" s="28"/>
      <c r="G210" s="33"/>
      <c r="H210" s="39"/>
      <c r="I210" s="52"/>
      <c r="J210" s="73"/>
      <c r="L210" s="48">
        <v>205</v>
      </c>
      <c r="M210" s="11" t="s">
        <v>121</v>
      </c>
      <c r="N210" s="11" t="s">
        <v>193</v>
      </c>
      <c r="O210" s="11" t="s">
        <v>313</v>
      </c>
    </row>
    <row r="211" spans="5:15">
      <c r="E211" s="32">
        <v>208</v>
      </c>
      <c r="F211" s="28"/>
      <c r="G211" s="33"/>
      <c r="H211" s="39"/>
      <c r="I211" s="52"/>
      <c r="J211" s="73"/>
      <c r="L211" s="48">
        <v>206</v>
      </c>
      <c r="M211" s="11" t="s">
        <v>220</v>
      </c>
      <c r="N211" s="11" t="s">
        <v>85</v>
      </c>
      <c r="O211" s="11" t="s">
        <v>314</v>
      </c>
    </row>
    <row r="212" spans="5:15">
      <c r="E212" s="32">
        <v>209</v>
      </c>
      <c r="F212" s="28"/>
      <c r="G212" s="33"/>
      <c r="H212" s="39"/>
      <c r="I212" s="52"/>
      <c r="J212" s="73"/>
      <c r="L212" s="48">
        <v>207</v>
      </c>
      <c r="M212" s="11" t="s">
        <v>160</v>
      </c>
      <c r="N212" s="11" t="s">
        <v>61</v>
      </c>
      <c r="O212" s="11" t="s">
        <v>315</v>
      </c>
    </row>
    <row r="213" spans="5:15">
      <c r="E213" s="32">
        <v>210</v>
      </c>
      <c r="F213" s="28"/>
      <c r="G213" s="33"/>
      <c r="H213" s="39"/>
      <c r="I213" s="52"/>
      <c r="J213" s="73"/>
      <c r="L213" s="48">
        <v>208</v>
      </c>
      <c r="M213" s="11" t="s">
        <v>316</v>
      </c>
      <c r="N213" s="11" t="s">
        <v>179</v>
      </c>
      <c r="O213" s="11" t="s">
        <v>317</v>
      </c>
    </row>
    <row r="214" spans="5:15">
      <c r="E214" s="32">
        <v>211</v>
      </c>
      <c r="F214" s="28"/>
      <c r="G214" s="33"/>
      <c r="H214" s="39"/>
      <c r="I214" s="52"/>
      <c r="J214" s="73"/>
      <c r="L214" s="48">
        <v>209</v>
      </c>
      <c r="M214" s="11" t="s">
        <v>231</v>
      </c>
      <c r="N214" s="11" t="s">
        <v>138</v>
      </c>
      <c r="O214" s="11" t="s">
        <v>318</v>
      </c>
    </row>
    <row r="215" spans="5:15">
      <c r="E215" s="32">
        <v>212</v>
      </c>
      <c r="F215" s="28"/>
      <c r="G215" s="33"/>
      <c r="H215" s="39"/>
      <c r="I215" s="52"/>
      <c r="J215" s="73"/>
      <c r="L215" s="48">
        <v>210</v>
      </c>
      <c r="M215" s="11" t="s">
        <v>158</v>
      </c>
      <c r="N215" s="11" t="s">
        <v>122</v>
      </c>
      <c r="O215" s="11" t="s">
        <v>319</v>
      </c>
    </row>
    <row r="216" spans="5:15">
      <c r="E216" s="32">
        <v>213</v>
      </c>
      <c r="F216" s="28"/>
      <c r="G216" s="33"/>
      <c r="H216" s="39"/>
      <c r="I216" s="52"/>
      <c r="J216" s="73"/>
      <c r="L216" s="48">
        <v>211</v>
      </c>
      <c r="M216" s="11" t="s">
        <v>187</v>
      </c>
      <c r="N216" s="11" t="s">
        <v>96</v>
      </c>
      <c r="O216" s="11" t="s">
        <v>320</v>
      </c>
    </row>
    <row r="217" spans="5:15">
      <c r="E217" s="32">
        <v>214</v>
      </c>
      <c r="F217" s="28"/>
      <c r="G217" s="33"/>
      <c r="H217" s="39"/>
      <c r="I217" s="52"/>
      <c r="J217" s="73"/>
      <c r="L217" s="48">
        <v>212</v>
      </c>
      <c r="M217" s="11" t="s">
        <v>64</v>
      </c>
      <c r="N217" s="11" t="s">
        <v>59</v>
      </c>
      <c r="O217" s="11" t="s">
        <v>321</v>
      </c>
    </row>
    <row r="218" spans="5:15">
      <c r="E218" s="32">
        <v>215</v>
      </c>
      <c r="F218" s="28"/>
      <c r="G218" s="33"/>
      <c r="H218" s="39"/>
      <c r="I218" s="52"/>
      <c r="J218" s="73"/>
      <c r="L218" s="48">
        <v>213</v>
      </c>
      <c r="M218" s="11" t="s">
        <v>90</v>
      </c>
      <c r="N218" s="11" t="s">
        <v>85</v>
      </c>
      <c r="O218" s="11" t="s">
        <v>322</v>
      </c>
    </row>
    <row r="219" spans="5:15">
      <c r="E219" s="32">
        <v>216</v>
      </c>
      <c r="F219" s="28"/>
      <c r="G219" s="33"/>
      <c r="H219" s="39"/>
      <c r="I219" s="52"/>
      <c r="J219" s="73"/>
      <c r="L219" s="48">
        <v>214</v>
      </c>
      <c r="M219" s="11" t="s">
        <v>299</v>
      </c>
      <c r="N219" s="11" t="s">
        <v>212</v>
      </c>
      <c r="O219" s="11" t="s">
        <v>323</v>
      </c>
    </row>
    <row r="220" spans="5:15">
      <c r="E220" s="32">
        <v>217</v>
      </c>
      <c r="F220" s="28"/>
      <c r="G220" s="33"/>
      <c r="H220" s="39"/>
      <c r="I220" s="52"/>
      <c r="J220" s="73"/>
      <c r="L220" s="48">
        <v>215</v>
      </c>
      <c r="M220" s="11" t="s">
        <v>22</v>
      </c>
      <c r="N220" s="11" t="s">
        <v>73</v>
      </c>
      <c r="O220" s="11" t="s">
        <v>324</v>
      </c>
    </row>
    <row r="221" spans="5:15">
      <c r="E221" s="32">
        <v>218</v>
      </c>
      <c r="F221" s="28"/>
      <c r="G221" s="33"/>
      <c r="H221" s="39"/>
      <c r="I221" s="52"/>
      <c r="J221" s="73"/>
      <c r="L221" s="48">
        <v>216</v>
      </c>
      <c r="M221" s="11" t="s">
        <v>67</v>
      </c>
      <c r="N221" s="11" t="s">
        <v>65</v>
      </c>
      <c r="O221" s="11" t="s">
        <v>325</v>
      </c>
    </row>
    <row r="222" spans="5:15">
      <c r="E222" s="32">
        <v>219</v>
      </c>
      <c r="F222" s="28"/>
      <c r="G222" s="33"/>
      <c r="H222" s="39"/>
      <c r="I222" s="52"/>
      <c r="J222" s="73"/>
      <c r="L222" s="48">
        <v>217</v>
      </c>
      <c r="M222" s="11" t="s">
        <v>67</v>
      </c>
      <c r="N222" s="11" t="s">
        <v>177</v>
      </c>
      <c r="O222" s="11" t="s">
        <v>326</v>
      </c>
    </row>
    <row r="223" spans="5:15">
      <c r="E223" s="32">
        <v>220</v>
      </c>
      <c r="F223" s="28"/>
      <c r="G223" s="33"/>
      <c r="H223" s="39"/>
      <c r="I223" s="52"/>
      <c r="J223" s="73"/>
      <c r="L223" s="48">
        <v>218</v>
      </c>
      <c r="M223" s="11" t="s">
        <v>187</v>
      </c>
      <c r="N223" s="11" t="s">
        <v>83</v>
      </c>
      <c r="O223" s="11" t="s">
        <v>327</v>
      </c>
    </row>
    <row r="224" spans="5:15">
      <c r="E224" s="32">
        <v>221</v>
      </c>
      <c r="F224" s="28"/>
      <c r="G224" s="33"/>
      <c r="H224" s="39"/>
      <c r="I224" s="52"/>
      <c r="J224" s="73"/>
      <c r="L224" s="48">
        <v>219</v>
      </c>
      <c r="M224" s="11" t="s">
        <v>25</v>
      </c>
      <c r="N224" s="11" t="s">
        <v>127</v>
      </c>
      <c r="O224" s="11" t="s">
        <v>328</v>
      </c>
    </row>
    <row r="225" spans="5:15">
      <c r="E225" s="32">
        <v>222</v>
      </c>
      <c r="F225" s="28"/>
      <c r="G225" s="33"/>
      <c r="H225" s="39"/>
      <c r="I225" s="52"/>
      <c r="J225" s="73"/>
      <c r="L225" s="48">
        <v>220</v>
      </c>
      <c r="M225" s="11" t="s">
        <v>203</v>
      </c>
      <c r="N225" s="11" t="s">
        <v>135</v>
      </c>
      <c r="O225" s="11" t="s">
        <v>329</v>
      </c>
    </row>
    <row r="226" spans="5:15">
      <c r="E226" s="32">
        <v>223</v>
      </c>
      <c r="F226" s="28"/>
      <c r="G226" s="33"/>
      <c r="H226" s="39"/>
      <c r="I226" s="52"/>
      <c r="J226" s="73"/>
      <c r="L226" s="48">
        <v>221</v>
      </c>
      <c r="M226" s="11" t="s">
        <v>41</v>
      </c>
      <c r="N226" s="11" t="s">
        <v>122</v>
      </c>
      <c r="O226" s="11" t="s">
        <v>330</v>
      </c>
    </row>
    <row r="227" spans="5:15">
      <c r="E227" s="32">
        <v>224</v>
      </c>
      <c r="F227" s="28"/>
      <c r="G227" s="33"/>
      <c r="H227" s="39"/>
      <c r="I227" s="52"/>
      <c r="J227" s="73"/>
      <c r="L227" s="48">
        <v>222</v>
      </c>
      <c r="M227" s="11" t="s">
        <v>95</v>
      </c>
      <c r="N227" s="11" t="s">
        <v>204</v>
      </c>
      <c r="O227" s="11" t="s">
        <v>331</v>
      </c>
    </row>
    <row r="228" spans="5:15">
      <c r="E228" s="32">
        <v>225</v>
      </c>
      <c r="F228" s="28"/>
      <c r="G228" s="33"/>
      <c r="H228" s="39"/>
      <c r="I228" s="52"/>
      <c r="J228" s="73"/>
      <c r="L228" s="48">
        <v>223</v>
      </c>
      <c r="M228" s="11" t="s">
        <v>25</v>
      </c>
      <c r="N228" s="11" t="s">
        <v>181</v>
      </c>
      <c r="O228" s="11" t="s">
        <v>332</v>
      </c>
    </row>
    <row r="229" spans="5:15">
      <c r="E229" s="32">
        <v>226</v>
      </c>
      <c r="F229" s="28"/>
      <c r="G229" s="33"/>
      <c r="H229" s="39"/>
      <c r="I229" s="52"/>
      <c r="J229" s="73"/>
      <c r="L229" s="48">
        <v>224</v>
      </c>
      <c r="M229" s="11" t="s">
        <v>77</v>
      </c>
      <c r="N229" s="11" t="s">
        <v>75</v>
      </c>
      <c r="O229" s="11" t="s">
        <v>333</v>
      </c>
    </row>
    <row r="230" spans="5:15">
      <c r="E230" s="32">
        <v>227</v>
      </c>
      <c r="F230" s="28"/>
      <c r="G230" s="33"/>
      <c r="H230" s="39"/>
      <c r="I230" s="52"/>
      <c r="J230" s="73"/>
      <c r="L230" s="48">
        <v>225</v>
      </c>
      <c r="M230" s="11" t="s">
        <v>231</v>
      </c>
      <c r="N230" s="11" t="s">
        <v>138</v>
      </c>
      <c r="O230" s="11" t="s">
        <v>334</v>
      </c>
    </row>
    <row r="231" spans="5:15">
      <c r="E231" s="32">
        <v>228</v>
      </c>
      <c r="F231" s="28"/>
      <c r="G231" s="33"/>
      <c r="H231" s="39"/>
      <c r="I231" s="52"/>
      <c r="J231" s="73"/>
      <c r="L231" s="48">
        <v>226</v>
      </c>
      <c r="M231" s="11" t="s">
        <v>220</v>
      </c>
      <c r="N231" s="11" t="s">
        <v>54</v>
      </c>
      <c r="O231" s="11" t="s">
        <v>335</v>
      </c>
    </row>
    <row r="232" spans="5:15">
      <c r="E232" s="32">
        <v>229</v>
      </c>
      <c r="F232" s="28"/>
      <c r="G232" s="33"/>
      <c r="H232" s="39"/>
      <c r="I232" s="52"/>
      <c r="J232" s="73"/>
      <c r="L232" s="48">
        <v>227</v>
      </c>
      <c r="M232" s="11" t="s">
        <v>231</v>
      </c>
      <c r="N232" s="11" t="s">
        <v>147</v>
      </c>
      <c r="O232" s="11" t="s">
        <v>336</v>
      </c>
    </row>
    <row r="233" spans="5:15">
      <c r="E233" s="32">
        <v>230</v>
      </c>
      <c r="F233" s="28"/>
      <c r="G233" s="33"/>
      <c r="H233" s="39"/>
      <c r="I233" s="52"/>
      <c r="J233" s="73"/>
      <c r="L233" s="48">
        <v>228</v>
      </c>
      <c r="M233" s="11" t="s">
        <v>293</v>
      </c>
      <c r="N233" s="11" t="s">
        <v>93</v>
      </c>
      <c r="O233" s="11" t="s">
        <v>337</v>
      </c>
    </row>
    <row r="234" spans="5:15">
      <c r="E234" s="32">
        <v>231</v>
      </c>
      <c r="F234" s="28"/>
      <c r="G234" s="33"/>
      <c r="H234" s="39"/>
      <c r="I234" s="52"/>
      <c r="J234" s="73"/>
      <c r="L234" s="48">
        <v>229</v>
      </c>
      <c r="M234" s="11" t="s">
        <v>69</v>
      </c>
      <c r="N234" s="11" t="s">
        <v>142</v>
      </c>
      <c r="O234" s="11" t="s">
        <v>338</v>
      </c>
    </row>
    <row r="235" spans="5:15">
      <c r="E235" s="32">
        <v>232</v>
      </c>
      <c r="F235" s="28"/>
      <c r="G235" s="33"/>
      <c r="H235" s="39"/>
      <c r="I235" s="52"/>
      <c r="J235" s="73"/>
      <c r="L235" s="48">
        <v>230</v>
      </c>
      <c r="M235" s="11" t="s">
        <v>116</v>
      </c>
      <c r="N235" s="11" t="s">
        <v>48</v>
      </c>
      <c r="O235" s="11" t="s">
        <v>339</v>
      </c>
    </row>
    <row r="236" spans="5:15">
      <c r="E236" s="32">
        <v>233</v>
      </c>
      <c r="F236" s="28"/>
      <c r="G236" s="33"/>
      <c r="H236" s="39"/>
      <c r="I236" s="52"/>
      <c r="J236" s="73"/>
      <c r="L236" s="48">
        <v>231</v>
      </c>
      <c r="M236" s="11" t="s">
        <v>13</v>
      </c>
      <c r="N236" s="11" t="s">
        <v>193</v>
      </c>
      <c r="O236" s="11" t="s">
        <v>340</v>
      </c>
    </row>
    <row r="237" spans="5:15">
      <c r="E237" s="32">
        <v>234</v>
      </c>
      <c r="F237" s="28"/>
      <c r="G237" s="33"/>
      <c r="H237" s="39"/>
      <c r="I237" s="52"/>
      <c r="J237" s="73"/>
      <c r="L237" s="48">
        <v>232</v>
      </c>
      <c r="M237" s="11" t="s">
        <v>263</v>
      </c>
      <c r="N237" s="11" t="s">
        <v>122</v>
      </c>
      <c r="O237" s="11" t="s">
        <v>341</v>
      </c>
    </row>
    <row r="238" spans="5:15">
      <c r="E238" s="32">
        <v>235</v>
      </c>
      <c r="F238" s="28"/>
      <c r="G238" s="33"/>
      <c r="H238" s="39"/>
      <c r="I238" s="52"/>
      <c r="J238" s="73"/>
      <c r="L238" s="48">
        <v>233</v>
      </c>
      <c r="M238" s="11" t="s">
        <v>210</v>
      </c>
      <c r="N238" s="11" t="s">
        <v>111</v>
      </c>
      <c r="O238" s="11" t="s">
        <v>342</v>
      </c>
    </row>
    <row r="239" spans="5:15">
      <c r="E239" s="32">
        <v>236</v>
      </c>
      <c r="F239" s="28"/>
      <c r="G239" s="33"/>
      <c r="H239" s="39"/>
      <c r="I239" s="52"/>
      <c r="J239" s="73"/>
      <c r="L239" s="48">
        <v>234</v>
      </c>
      <c r="M239" s="11" t="s">
        <v>203</v>
      </c>
      <c r="N239" s="11" t="s">
        <v>83</v>
      </c>
      <c r="O239" s="11" t="s">
        <v>343</v>
      </c>
    </row>
    <row r="240" spans="5:15">
      <c r="E240" s="32">
        <v>237</v>
      </c>
      <c r="F240" s="28"/>
      <c r="G240" s="33"/>
      <c r="H240" s="39"/>
      <c r="I240" s="52"/>
      <c r="J240" s="73"/>
      <c r="L240" s="48">
        <v>235</v>
      </c>
      <c r="M240" s="11" t="s">
        <v>158</v>
      </c>
      <c r="N240" s="11" t="s">
        <v>45</v>
      </c>
      <c r="O240" s="11" t="s">
        <v>344</v>
      </c>
    </row>
    <row r="241" spans="5:15">
      <c r="E241" s="32">
        <v>238</v>
      </c>
      <c r="F241" s="28"/>
      <c r="G241" s="33"/>
      <c r="H241" s="39"/>
      <c r="I241" s="52"/>
      <c r="J241" s="73"/>
      <c r="L241" s="48">
        <v>236</v>
      </c>
      <c r="M241" s="11" t="s">
        <v>176</v>
      </c>
      <c r="N241" s="11" t="s">
        <v>96</v>
      </c>
      <c r="O241" s="11" t="s">
        <v>345</v>
      </c>
    </row>
    <row r="242" spans="5:15">
      <c r="E242" s="32">
        <v>239</v>
      </c>
      <c r="F242" s="28"/>
      <c r="G242" s="33"/>
      <c r="H242" s="39"/>
      <c r="I242" s="52"/>
      <c r="J242" s="73"/>
      <c r="L242" s="48">
        <v>237</v>
      </c>
      <c r="M242" s="11" t="s">
        <v>316</v>
      </c>
      <c r="N242" s="11" t="s">
        <v>346</v>
      </c>
      <c r="O242" s="11" t="s">
        <v>347</v>
      </c>
    </row>
    <row r="243" spans="5:15">
      <c r="E243" s="32">
        <v>240</v>
      </c>
      <c r="F243" s="28"/>
      <c r="G243" s="33"/>
      <c r="H243" s="39"/>
      <c r="I243" s="52"/>
      <c r="J243" s="73"/>
      <c r="L243" s="48">
        <v>238</v>
      </c>
      <c r="M243" s="11" t="s">
        <v>95</v>
      </c>
      <c r="N243" s="11" t="s">
        <v>39</v>
      </c>
      <c r="O243" s="11" t="s">
        <v>348</v>
      </c>
    </row>
    <row r="244" spans="5:15">
      <c r="E244" s="32">
        <v>241</v>
      </c>
      <c r="F244" s="28"/>
      <c r="G244" s="33"/>
      <c r="H244" s="39"/>
      <c r="I244" s="52"/>
      <c r="J244" s="73"/>
      <c r="L244" s="48">
        <v>239</v>
      </c>
      <c r="M244" s="11" t="s">
        <v>229</v>
      </c>
      <c r="N244" s="11" t="s">
        <v>23</v>
      </c>
      <c r="O244" s="11" t="s">
        <v>349</v>
      </c>
    </row>
    <row r="245" spans="5:15">
      <c r="E245" s="32">
        <v>242</v>
      </c>
      <c r="F245" s="28"/>
      <c r="G245" s="33"/>
      <c r="H245" s="39"/>
      <c r="I245" s="52"/>
      <c r="J245" s="73"/>
      <c r="L245" s="48">
        <v>240</v>
      </c>
      <c r="M245" s="11" t="s">
        <v>38</v>
      </c>
      <c r="N245" s="11" t="s">
        <v>111</v>
      </c>
      <c r="O245" s="11" t="s">
        <v>350</v>
      </c>
    </row>
    <row r="246" spans="5:15">
      <c r="E246" s="32">
        <v>243</v>
      </c>
      <c r="F246" s="28"/>
      <c r="G246" s="33"/>
      <c r="H246" s="39"/>
      <c r="I246" s="52"/>
      <c r="J246" s="73"/>
      <c r="L246" s="48">
        <v>241</v>
      </c>
      <c r="M246" s="11" t="s">
        <v>293</v>
      </c>
      <c r="N246" s="11" t="s">
        <v>65</v>
      </c>
      <c r="O246" s="11" t="s">
        <v>351</v>
      </c>
    </row>
    <row r="247" spans="5:15">
      <c r="E247" s="32">
        <v>244</v>
      </c>
      <c r="F247" s="28"/>
      <c r="G247" s="33"/>
      <c r="H247" s="39"/>
      <c r="I247" s="52"/>
      <c r="J247" s="73"/>
      <c r="L247" s="48">
        <v>242</v>
      </c>
      <c r="M247" s="11" t="s">
        <v>35</v>
      </c>
      <c r="N247" s="11" t="s">
        <v>78</v>
      </c>
      <c r="O247" s="11" t="s">
        <v>352</v>
      </c>
    </row>
    <row r="248" spans="5:15">
      <c r="E248" s="32">
        <v>245</v>
      </c>
      <c r="F248" s="28"/>
      <c r="G248" s="33"/>
      <c r="H248" s="39"/>
      <c r="I248" s="52"/>
      <c r="J248" s="73"/>
      <c r="L248" s="48">
        <v>243</v>
      </c>
      <c r="M248" s="11" t="s">
        <v>77</v>
      </c>
      <c r="N248" s="11" t="s">
        <v>54</v>
      </c>
      <c r="O248" s="11" t="s">
        <v>353</v>
      </c>
    </row>
    <row r="249" spans="5:15">
      <c r="E249" s="32">
        <v>246</v>
      </c>
      <c r="F249" s="28"/>
      <c r="G249" s="33"/>
      <c r="H249" s="39"/>
      <c r="I249" s="52"/>
      <c r="J249" s="73"/>
      <c r="L249" s="48">
        <v>244</v>
      </c>
      <c r="M249" s="11" t="s">
        <v>133</v>
      </c>
      <c r="N249" s="11" t="s">
        <v>147</v>
      </c>
      <c r="O249" s="11" t="s">
        <v>354</v>
      </c>
    </row>
    <row r="250" spans="5:15">
      <c r="E250" s="32">
        <v>247</v>
      </c>
      <c r="F250" s="28"/>
      <c r="G250" s="33"/>
      <c r="H250" s="39"/>
      <c r="I250" s="52"/>
      <c r="J250" s="73"/>
      <c r="L250" s="48">
        <v>245</v>
      </c>
      <c r="M250" s="11" t="s">
        <v>263</v>
      </c>
      <c r="N250" s="11" t="s">
        <v>98</v>
      </c>
      <c r="O250" s="11" t="s">
        <v>355</v>
      </c>
    </row>
    <row r="251" spans="5:15">
      <c r="E251" s="32">
        <v>248</v>
      </c>
      <c r="F251" s="28"/>
      <c r="G251" s="33"/>
      <c r="H251" s="39"/>
      <c r="I251" s="52"/>
      <c r="J251" s="73"/>
      <c r="L251" s="48">
        <v>246</v>
      </c>
      <c r="M251" s="11" t="s">
        <v>47</v>
      </c>
      <c r="N251" s="11" t="s">
        <v>204</v>
      </c>
      <c r="O251" s="11" t="s">
        <v>356</v>
      </c>
    </row>
    <row r="252" spans="5:15">
      <c r="E252" s="32">
        <v>249</v>
      </c>
      <c r="F252" s="28"/>
      <c r="G252" s="33"/>
      <c r="H252" s="39"/>
      <c r="I252" s="52"/>
      <c r="J252" s="73"/>
      <c r="L252" s="48">
        <v>247</v>
      </c>
      <c r="M252" s="11" t="s">
        <v>50</v>
      </c>
      <c r="N252" s="11" t="s">
        <v>135</v>
      </c>
      <c r="O252" s="11" t="s">
        <v>357</v>
      </c>
    </row>
    <row r="253" spans="5:15">
      <c r="E253" s="32">
        <v>250</v>
      </c>
      <c r="F253" s="28"/>
      <c r="G253" s="33"/>
      <c r="H253" s="39"/>
      <c r="I253" s="52"/>
      <c r="J253" s="73"/>
      <c r="L253" s="48">
        <v>248</v>
      </c>
      <c r="M253" s="11" t="s">
        <v>124</v>
      </c>
      <c r="N253" s="11" t="s">
        <v>59</v>
      </c>
      <c r="O253" s="11" t="s">
        <v>358</v>
      </c>
    </row>
    <row r="254" spans="5:15">
      <c r="E254" s="32">
        <v>251</v>
      </c>
      <c r="F254" s="28"/>
      <c r="G254" s="33"/>
      <c r="H254" s="39"/>
      <c r="I254" s="52"/>
      <c r="J254" s="73"/>
      <c r="L254" s="48">
        <v>249</v>
      </c>
      <c r="M254" s="11" t="s">
        <v>176</v>
      </c>
      <c r="N254" s="11" t="s">
        <v>57</v>
      </c>
      <c r="O254" s="11" t="s">
        <v>359</v>
      </c>
    </row>
    <row r="255" spans="5:15">
      <c r="E255" s="32">
        <v>252</v>
      </c>
      <c r="F255" s="28"/>
      <c r="G255" s="33"/>
      <c r="H255" s="39"/>
      <c r="I255" s="52"/>
      <c r="J255" s="73"/>
      <c r="L255" s="48">
        <v>250</v>
      </c>
      <c r="M255" s="11" t="s">
        <v>13</v>
      </c>
      <c r="N255" s="11" t="s">
        <v>127</v>
      </c>
      <c r="O255" s="11" t="s">
        <v>360</v>
      </c>
    </row>
    <row r="256" spans="5:15">
      <c r="E256" s="32">
        <v>253</v>
      </c>
      <c r="F256" s="28"/>
      <c r="G256" s="33"/>
      <c r="H256" s="39"/>
      <c r="I256" s="52"/>
      <c r="J256" s="73"/>
      <c r="L256" s="48">
        <v>251</v>
      </c>
      <c r="M256" s="11" t="s">
        <v>293</v>
      </c>
      <c r="N256" s="11" t="s">
        <v>61</v>
      </c>
      <c r="O256" s="11" t="s">
        <v>361</v>
      </c>
    </row>
    <row r="257" spans="5:15">
      <c r="E257" s="32">
        <v>254</v>
      </c>
      <c r="F257" s="28"/>
      <c r="G257" s="33"/>
      <c r="H257" s="39"/>
      <c r="I257" s="52"/>
      <c r="J257" s="73"/>
      <c r="L257" s="48">
        <v>252</v>
      </c>
      <c r="M257" s="11" t="s">
        <v>95</v>
      </c>
      <c r="N257" s="11" t="s">
        <v>88</v>
      </c>
      <c r="O257" s="11" t="s">
        <v>362</v>
      </c>
    </row>
    <row r="258" spans="5:15">
      <c r="E258" s="32">
        <v>255</v>
      </c>
      <c r="F258" s="28"/>
      <c r="G258" s="33"/>
      <c r="H258" s="39"/>
      <c r="I258" s="52"/>
      <c r="J258" s="73"/>
      <c r="L258" s="48">
        <v>253</v>
      </c>
      <c r="M258" s="11" t="s">
        <v>56</v>
      </c>
      <c r="N258" s="11" t="s">
        <v>177</v>
      </c>
      <c r="O258" s="11" t="s">
        <v>363</v>
      </c>
    </row>
    <row r="259" spans="5:15">
      <c r="E259" s="32">
        <v>256</v>
      </c>
      <c r="F259" s="28"/>
      <c r="G259" s="33"/>
      <c r="H259" s="39"/>
      <c r="I259" s="52"/>
      <c r="J259" s="73"/>
      <c r="L259" s="48">
        <v>254</v>
      </c>
      <c r="M259" s="11" t="s">
        <v>220</v>
      </c>
      <c r="N259" s="11" t="s">
        <v>20</v>
      </c>
      <c r="O259" s="11" t="s">
        <v>364</v>
      </c>
    </row>
    <row r="260" spans="5:15">
      <c r="E260" s="32">
        <v>257</v>
      </c>
      <c r="F260" s="28"/>
      <c r="G260" s="33"/>
      <c r="H260" s="39"/>
      <c r="I260" s="52"/>
      <c r="J260" s="73"/>
      <c r="L260" s="48">
        <v>255</v>
      </c>
      <c r="M260" s="11" t="s">
        <v>316</v>
      </c>
      <c r="N260" s="11" t="s">
        <v>138</v>
      </c>
      <c r="O260" s="11" t="s">
        <v>365</v>
      </c>
    </row>
    <row r="261" spans="5:15">
      <c r="E261" s="32">
        <v>258</v>
      </c>
      <c r="F261" s="28"/>
      <c r="G261" s="33"/>
      <c r="H261" s="39"/>
      <c r="I261" s="52"/>
      <c r="J261" s="73"/>
      <c r="L261" s="48">
        <v>256</v>
      </c>
      <c r="M261" s="11" t="s">
        <v>169</v>
      </c>
      <c r="N261" s="11" t="s">
        <v>26</v>
      </c>
      <c r="O261" s="11" t="s">
        <v>366</v>
      </c>
    </row>
    <row r="262" spans="5:15">
      <c r="E262" s="32">
        <v>259</v>
      </c>
      <c r="F262" s="28"/>
      <c r="G262" s="33"/>
      <c r="H262" s="39"/>
      <c r="I262" s="52"/>
      <c r="J262" s="73"/>
      <c r="L262" s="48">
        <v>257</v>
      </c>
      <c r="M262" s="11" t="s">
        <v>133</v>
      </c>
      <c r="N262" s="11" t="s">
        <v>73</v>
      </c>
      <c r="O262" s="11" t="s">
        <v>367</v>
      </c>
    </row>
    <row r="263" spans="5:15">
      <c r="E263" s="32">
        <v>260</v>
      </c>
      <c r="F263" s="28"/>
      <c r="G263" s="33"/>
      <c r="H263" s="39"/>
      <c r="I263" s="52"/>
      <c r="J263" s="73"/>
      <c r="L263" s="48">
        <v>258</v>
      </c>
      <c r="M263" s="11" t="s">
        <v>30</v>
      </c>
      <c r="N263" s="11" t="s">
        <v>59</v>
      </c>
      <c r="O263" s="11" t="s">
        <v>368</v>
      </c>
    </row>
    <row r="264" spans="5:15">
      <c r="E264" s="32">
        <v>261</v>
      </c>
      <c r="F264" s="28"/>
      <c r="G264" s="33"/>
      <c r="H264" s="39"/>
      <c r="I264" s="52"/>
      <c r="J264" s="73"/>
      <c r="L264" s="48">
        <v>259</v>
      </c>
      <c r="M264" s="11" t="s">
        <v>229</v>
      </c>
      <c r="N264" s="11" t="s">
        <v>193</v>
      </c>
      <c r="O264" s="11" t="s">
        <v>369</v>
      </c>
    </row>
    <row r="265" spans="5:15">
      <c r="E265" s="32">
        <v>262</v>
      </c>
      <c r="F265" s="28"/>
      <c r="G265" s="33"/>
      <c r="H265" s="39"/>
      <c r="I265" s="52"/>
      <c r="J265" s="73"/>
      <c r="L265" s="48">
        <v>260</v>
      </c>
      <c r="M265" s="11" t="s">
        <v>316</v>
      </c>
      <c r="N265" s="11" t="s">
        <v>51</v>
      </c>
      <c r="O265" s="11" t="s">
        <v>370</v>
      </c>
    </row>
    <row r="266" spans="5:15">
      <c r="E266" s="32">
        <v>263</v>
      </c>
      <c r="F266" s="28"/>
      <c r="G266" s="33"/>
      <c r="H266" s="39"/>
      <c r="I266" s="52"/>
      <c r="J266" s="73"/>
      <c r="L266" s="48">
        <v>261</v>
      </c>
      <c r="M266" s="11" t="s">
        <v>38</v>
      </c>
      <c r="N266" s="11" t="s">
        <v>45</v>
      </c>
      <c r="O266" s="11" t="s">
        <v>371</v>
      </c>
    </row>
    <row r="267" spans="5:15">
      <c r="E267" s="32">
        <v>264</v>
      </c>
      <c r="F267" s="28"/>
      <c r="G267" s="33"/>
      <c r="H267" s="39"/>
      <c r="I267" s="52"/>
      <c r="J267" s="73"/>
      <c r="L267" s="48">
        <v>262</v>
      </c>
      <c r="M267" s="11" t="s">
        <v>160</v>
      </c>
      <c r="N267" s="11" t="s">
        <v>33</v>
      </c>
      <c r="O267" s="11" t="s">
        <v>372</v>
      </c>
    </row>
    <row r="268" spans="5:15">
      <c r="E268" s="32">
        <v>265</v>
      </c>
      <c r="F268" s="28"/>
      <c r="G268" s="33"/>
      <c r="H268" s="39"/>
      <c r="I268" s="52"/>
      <c r="J268" s="73"/>
      <c r="L268" s="48">
        <v>263</v>
      </c>
      <c r="M268" s="11" t="s">
        <v>229</v>
      </c>
      <c r="N268" s="11" t="s">
        <v>20</v>
      </c>
      <c r="O268" s="11" t="s">
        <v>373</v>
      </c>
    </row>
    <row r="269" spans="5:15">
      <c r="E269" s="32">
        <v>266</v>
      </c>
      <c r="F269" s="28"/>
      <c r="G269" s="33"/>
      <c r="H269" s="39"/>
      <c r="I269" s="52"/>
      <c r="J269" s="73"/>
      <c r="L269" s="48">
        <v>264</v>
      </c>
      <c r="M269" s="11" t="s">
        <v>210</v>
      </c>
      <c r="N269" s="11" t="s">
        <v>20</v>
      </c>
      <c r="O269" s="11" t="s">
        <v>374</v>
      </c>
    </row>
    <row r="270" spans="5:15">
      <c r="E270" s="32">
        <v>267</v>
      </c>
      <c r="F270" s="28"/>
      <c r="G270" s="33"/>
      <c r="H270" s="39"/>
      <c r="I270" s="52"/>
      <c r="J270" s="73"/>
      <c r="L270" s="48">
        <v>265</v>
      </c>
      <c r="M270" s="11" t="s">
        <v>107</v>
      </c>
      <c r="N270" s="11" t="s">
        <v>33</v>
      </c>
      <c r="O270" s="11" t="s">
        <v>375</v>
      </c>
    </row>
    <row r="271" spans="5:15">
      <c r="E271" s="32">
        <v>268</v>
      </c>
      <c r="F271" s="28"/>
      <c r="G271" s="33"/>
      <c r="H271" s="39"/>
      <c r="I271" s="52"/>
      <c r="J271" s="73"/>
      <c r="L271" s="48">
        <v>266</v>
      </c>
      <c r="M271" s="11" t="s">
        <v>50</v>
      </c>
      <c r="N271" s="11" t="s">
        <v>54</v>
      </c>
      <c r="O271" s="11" t="s">
        <v>376</v>
      </c>
    </row>
    <row r="272" spans="5:15">
      <c r="E272" s="32">
        <v>269</v>
      </c>
      <c r="F272" s="28"/>
      <c r="G272" s="33"/>
      <c r="H272" s="39"/>
      <c r="I272" s="52"/>
      <c r="J272" s="73"/>
      <c r="L272" s="48">
        <v>267</v>
      </c>
      <c r="M272" s="11" t="s">
        <v>38</v>
      </c>
      <c r="N272" s="11" t="s">
        <v>181</v>
      </c>
      <c r="O272" s="11" t="s">
        <v>377</v>
      </c>
    </row>
    <row r="273" spans="5:15">
      <c r="E273" s="32">
        <v>270</v>
      </c>
      <c r="F273" s="28"/>
      <c r="G273" s="33"/>
      <c r="H273" s="39"/>
      <c r="I273" s="52"/>
      <c r="J273" s="73"/>
      <c r="L273" s="48">
        <v>268</v>
      </c>
      <c r="M273" s="11" t="s">
        <v>41</v>
      </c>
      <c r="N273" s="11" t="s">
        <v>26</v>
      </c>
      <c r="O273" s="11" t="s">
        <v>378</v>
      </c>
    </row>
    <row r="274" spans="5:15">
      <c r="E274" s="32">
        <v>271</v>
      </c>
      <c r="F274" s="28"/>
      <c r="G274" s="33"/>
      <c r="H274" s="39"/>
      <c r="I274" s="52"/>
      <c r="J274" s="73"/>
      <c r="L274" s="48">
        <v>269</v>
      </c>
      <c r="M274" s="11" t="s">
        <v>95</v>
      </c>
      <c r="N274" s="11" t="s">
        <v>23</v>
      </c>
      <c r="O274" s="11" t="s">
        <v>379</v>
      </c>
    </row>
    <row r="275" spans="5:15">
      <c r="E275" s="32">
        <v>272</v>
      </c>
      <c r="F275" s="28"/>
      <c r="G275" s="33"/>
      <c r="H275" s="39"/>
      <c r="I275" s="52"/>
      <c r="J275" s="73"/>
      <c r="L275" s="48">
        <v>270</v>
      </c>
      <c r="M275" s="11" t="s">
        <v>197</v>
      </c>
      <c r="N275" s="11" t="s">
        <v>204</v>
      </c>
      <c r="O275" s="11" t="s">
        <v>380</v>
      </c>
    </row>
    <row r="276" spans="5:15">
      <c r="E276" s="32">
        <v>273</v>
      </c>
      <c r="F276" s="28"/>
      <c r="G276" s="33"/>
      <c r="H276" s="39"/>
      <c r="I276" s="52"/>
      <c r="J276" s="73"/>
      <c r="L276" s="48">
        <v>271</v>
      </c>
      <c r="M276" s="11" t="s">
        <v>19</v>
      </c>
      <c r="N276" s="11" t="s">
        <v>83</v>
      </c>
      <c r="O276" s="11" t="s">
        <v>381</v>
      </c>
    </row>
    <row r="277" spans="5:15">
      <c r="E277" s="32">
        <v>274</v>
      </c>
      <c r="F277" s="28"/>
      <c r="G277" s="33"/>
      <c r="H277" s="39"/>
      <c r="I277" s="52"/>
      <c r="J277" s="73"/>
      <c r="L277" s="48">
        <v>272</v>
      </c>
      <c r="M277" s="11" t="s">
        <v>158</v>
      </c>
      <c r="N277" s="11" t="s">
        <v>111</v>
      </c>
      <c r="O277" s="11" t="s">
        <v>382</v>
      </c>
    </row>
    <row r="278" spans="5:15">
      <c r="E278" s="32">
        <v>275</v>
      </c>
      <c r="F278" s="28"/>
      <c r="G278" s="33"/>
      <c r="H278" s="39"/>
      <c r="I278" s="52"/>
      <c r="J278" s="73"/>
      <c r="L278" s="48">
        <v>273</v>
      </c>
      <c r="M278" s="11" t="s">
        <v>44</v>
      </c>
      <c r="N278" s="11" t="s">
        <v>65</v>
      </c>
      <c r="O278" s="11" t="s">
        <v>383</v>
      </c>
    </row>
    <row r="279" spans="5:15">
      <c r="E279" s="32">
        <v>276</v>
      </c>
      <c r="F279" s="28"/>
      <c r="G279" s="33"/>
      <c r="H279" s="39"/>
      <c r="I279" s="52"/>
      <c r="J279" s="73"/>
      <c r="L279" s="48">
        <v>274</v>
      </c>
      <c r="M279" s="11" t="s">
        <v>50</v>
      </c>
      <c r="N279" s="11" t="s">
        <v>105</v>
      </c>
      <c r="O279" s="11" t="s">
        <v>384</v>
      </c>
    </row>
    <row r="280" spans="5:15">
      <c r="E280" s="32">
        <v>277</v>
      </c>
      <c r="F280" s="28"/>
      <c r="G280" s="33"/>
      <c r="H280" s="39"/>
      <c r="I280" s="52"/>
      <c r="J280" s="73"/>
      <c r="L280" s="48">
        <v>275</v>
      </c>
      <c r="M280" s="11" t="s">
        <v>32</v>
      </c>
      <c r="N280" s="11" t="s">
        <v>142</v>
      </c>
      <c r="O280" s="11" t="s">
        <v>385</v>
      </c>
    </row>
    <row r="281" spans="5:15">
      <c r="E281" s="32">
        <v>278</v>
      </c>
      <c r="F281" s="28"/>
      <c r="G281" s="33"/>
      <c r="H281" s="39"/>
      <c r="I281" s="52"/>
      <c r="J281" s="73"/>
      <c r="L281" s="48">
        <v>276</v>
      </c>
      <c r="M281" s="11" t="s">
        <v>35</v>
      </c>
      <c r="N281" s="11" t="s">
        <v>145</v>
      </c>
      <c r="O281" s="11" t="s">
        <v>386</v>
      </c>
    </row>
    <row r="282" spans="5:15">
      <c r="E282" s="32">
        <v>279</v>
      </c>
      <c r="F282" s="28"/>
      <c r="G282" s="33"/>
      <c r="H282" s="39"/>
      <c r="I282" s="52"/>
      <c r="J282" s="73"/>
      <c r="L282" s="48">
        <v>277</v>
      </c>
      <c r="M282" s="11" t="s">
        <v>16</v>
      </c>
      <c r="N282" s="11" t="s">
        <v>212</v>
      </c>
      <c r="O282" s="11" t="s">
        <v>387</v>
      </c>
    </row>
    <row r="283" spans="5:15">
      <c r="E283" s="32">
        <v>280</v>
      </c>
      <c r="F283" s="28"/>
      <c r="G283" s="33"/>
      <c r="H283" s="39"/>
      <c r="I283" s="52"/>
      <c r="J283" s="73"/>
      <c r="L283" s="48">
        <v>278</v>
      </c>
      <c r="M283" s="11" t="s">
        <v>169</v>
      </c>
      <c r="N283" s="11" t="s">
        <v>61</v>
      </c>
      <c r="O283" s="11" t="s">
        <v>388</v>
      </c>
    </row>
    <row r="284" spans="5:15">
      <c r="E284" s="32">
        <v>281</v>
      </c>
      <c r="F284" s="28"/>
      <c r="G284" s="33"/>
      <c r="H284" s="39"/>
      <c r="I284" s="52"/>
      <c r="J284" s="73"/>
      <c r="L284" s="48">
        <v>279</v>
      </c>
      <c r="M284" s="11" t="s">
        <v>116</v>
      </c>
      <c r="N284" s="11" t="s">
        <v>346</v>
      </c>
      <c r="O284" s="11" t="s">
        <v>389</v>
      </c>
    </row>
    <row r="285" spans="5:15">
      <c r="E285" s="32">
        <v>282</v>
      </c>
      <c r="F285" s="28"/>
      <c r="G285" s="33"/>
      <c r="H285" s="39"/>
      <c r="I285" s="52"/>
      <c r="J285" s="73"/>
      <c r="L285" s="48">
        <v>280</v>
      </c>
      <c r="M285" s="11" t="s">
        <v>210</v>
      </c>
      <c r="N285" s="11" t="s">
        <v>73</v>
      </c>
      <c r="O285" s="11" t="s">
        <v>390</v>
      </c>
    </row>
    <row r="286" spans="5:15">
      <c r="E286" s="32">
        <v>283</v>
      </c>
      <c r="F286" s="28"/>
      <c r="G286" s="33"/>
      <c r="H286" s="39"/>
      <c r="I286" s="52"/>
      <c r="J286" s="73"/>
      <c r="L286" s="48">
        <v>281</v>
      </c>
      <c r="M286" s="11" t="s">
        <v>229</v>
      </c>
      <c r="N286" s="11" t="s">
        <v>212</v>
      </c>
      <c r="O286" s="11" t="s">
        <v>391</v>
      </c>
    </row>
    <row r="287" spans="5:15">
      <c r="E287" s="32">
        <v>284</v>
      </c>
      <c r="F287" s="28"/>
      <c r="G287" s="33"/>
      <c r="H287" s="39"/>
      <c r="I287" s="52"/>
      <c r="J287" s="73"/>
      <c r="L287" s="48">
        <v>282</v>
      </c>
      <c r="M287" s="11" t="s">
        <v>90</v>
      </c>
      <c r="N287" s="11" t="s">
        <v>105</v>
      </c>
      <c r="O287" s="11" t="s">
        <v>392</v>
      </c>
    </row>
    <row r="288" spans="5:15">
      <c r="E288" s="32">
        <v>285</v>
      </c>
      <c r="F288" s="28"/>
      <c r="G288" s="33"/>
      <c r="H288" s="39"/>
      <c r="I288" s="52"/>
      <c r="J288" s="73"/>
      <c r="L288" s="48">
        <v>283</v>
      </c>
      <c r="M288" s="11" t="s">
        <v>158</v>
      </c>
      <c r="N288" s="11" t="s">
        <v>111</v>
      </c>
      <c r="O288" s="11" t="s">
        <v>393</v>
      </c>
    </row>
    <row r="289" spans="5:15">
      <c r="E289" s="32">
        <v>286</v>
      </c>
      <c r="F289" s="28"/>
      <c r="G289" s="33"/>
      <c r="H289" s="39"/>
      <c r="I289" s="52"/>
      <c r="J289" s="73"/>
      <c r="L289" s="48">
        <v>284</v>
      </c>
      <c r="M289" s="11" t="s">
        <v>293</v>
      </c>
      <c r="N289" s="11" t="s">
        <v>33</v>
      </c>
      <c r="O289" s="11" t="s">
        <v>394</v>
      </c>
    </row>
    <row r="290" spans="5:15">
      <c r="E290" s="32">
        <v>287</v>
      </c>
      <c r="F290" s="28"/>
      <c r="G290" s="33"/>
      <c r="H290" s="39"/>
      <c r="I290" s="52"/>
      <c r="J290" s="73"/>
      <c r="L290" s="48">
        <v>285</v>
      </c>
      <c r="M290" s="11" t="s">
        <v>226</v>
      </c>
      <c r="N290" s="11" t="s">
        <v>193</v>
      </c>
      <c r="O290" s="11" t="s">
        <v>395</v>
      </c>
    </row>
    <row r="291" spans="5:15">
      <c r="E291" s="32">
        <v>288</v>
      </c>
      <c r="F291" s="28"/>
      <c r="G291" s="33"/>
      <c r="H291" s="39"/>
      <c r="I291" s="52"/>
      <c r="J291" s="73"/>
      <c r="L291" s="48">
        <v>286</v>
      </c>
      <c r="M291" s="11" t="s">
        <v>203</v>
      </c>
      <c r="N291" s="11" t="s">
        <v>78</v>
      </c>
      <c r="O291" s="11" t="s">
        <v>396</v>
      </c>
    </row>
    <row r="292" spans="5:15">
      <c r="E292" s="32">
        <v>289</v>
      </c>
      <c r="F292" s="28"/>
      <c r="G292" s="33"/>
      <c r="H292" s="39"/>
      <c r="I292" s="52"/>
      <c r="J292" s="73"/>
      <c r="L292" s="48">
        <v>287</v>
      </c>
      <c r="M292" s="11" t="s">
        <v>41</v>
      </c>
      <c r="N292" s="11" t="s">
        <v>78</v>
      </c>
      <c r="O292" s="11" t="s">
        <v>397</v>
      </c>
    </row>
    <row r="293" spans="5:15">
      <c r="E293" s="32">
        <v>290</v>
      </c>
      <c r="F293" s="28"/>
      <c r="G293" s="33"/>
      <c r="H293" s="39"/>
      <c r="I293" s="52"/>
      <c r="J293" s="73"/>
      <c r="L293" s="48">
        <v>288</v>
      </c>
      <c r="M293" s="11" t="s">
        <v>30</v>
      </c>
      <c r="N293" s="11" t="s">
        <v>127</v>
      </c>
      <c r="O293" s="11" t="s">
        <v>398</v>
      </c>
    </row>
    <row r="294" spans="5:15">
      <c r="E294" s="32">
        <v>291</v>
      </c>
      <c r="F294" s="28"/>
      <c r="G294" s="33"/>
      <c r="H294" s="39"/>
      <c r="I294" s="52"/>
      <c r="J294" s="73"/>
      <c r="L294" s="48">
        <v>289</v>
      </c>
      <c r="M294" s="11" t="s">
        <v>67</v>
      </c>
      <c r="N294" s="11" t="s">
        <v>142</v>
      </c>
      <c r="O294" s="11" t="s">
        <v>399</v>
      </c>
    </row>
    <row r="295" spans="5:15">
      <c r="E295" s="32">
        <v>292</v>
      </c>
      <c r="F295" s="28"/>
      <c r="G295" s="33"/>
      <c r="H295" s="39"/>
      <c r="I295" s="52"/>
      <c r="J295" s="73"/>
      <c r="L295" s="48">
        <v>290</v>
      </c>
      <c r="M295" s="11" t="s">
        <v>316</v>
      </c>
      <c r="N295" s="11" t="s">
        <v>73</v>
      </c>
      <c r="O295" s="11" t="s">
        <v>400</v>
      </c>
    </row>
    <row r="296" spans="5:15">
      <c r="E296" s="32">
        <v>293</v>
      </c>
      <c r="F296" s="28"/>
      <c r="G296" s="33"/>
      <c r="H296" s="39"/>
      <c r="I296" s="52"/>
      <c r="J296" s="73"/>
      <c r="L296" s="48">
        <v>291</v>
      </c>
      <c r="M296" s="11" t="s">
        <v>107</v>
      </c>
      <c r="N296" s="11" t="s">
        <v>401</v>
      </c>
      <c r="O296" s="11" t="s">
        <v>402</v>
      </c>
    </row>
    <row r="297" spans="5:15">
      <c r="E297" s="32">
        <v>294</v>
      </c>
      <c r="F297" s="28"/>
      <c r="G297" s="33"/>
      <c r="H297" s="39"/>
      <c r="I297" s="52"/>
      <c r="J297" s="73"/>
      <c r="L297" s="48">
        <v>292</v>
      </c>
      <c r="M297" s="11" t="s">
        <v>95</v>
      </c>
      <c r="N297" s="11" t="s">
        <v>36</v>
      </c>
      <c r="O297" s="11" t="s">
        <v>403</v>
      </c>
    </row>
    <row r="298" spans="5:15">
      <c r="E298" s="32">
        <v>295</v>
      </c>
      <c r="F298" s="28"/>
      <c r="G298" s="33"/>
      <c r="H298" s="39"/>
      <c r="I298" s="52"/>
      <c r="J298" s="73"/>
      <c r="L298" s="48">
        <v>293</v>
      </c>
      <c r="M298" s="11" t="s">
        <v>169</v>
      </c>
      <c r="N298" s="11" t="s">
        <v>173</v>
      </c>
      <c r="O298" s="11" t="s">
        <v>404</v>
      </c>
    </row>
    <row r="299" spans="5:15">
      <c r="E299" s="32">
        <v>296</v>
      </c>
      <c r="F299" s="28"/>
      <c r="G299" s="33"/>
      <c r="H299" s="39"/>
      <c r="I299" s="52"/>
      <c r="J299" s="73"/>
      <c r="L299" s="48">
        <v>294</v>
      </c>
      <c r="M299" s="11" t="s">
        <v>71</v>
      </c>
      <c r="N299" s="11" t="s">
        <v>142</v>
      </c>
      <c r="O299" s="11" t="s">
        <v>405</v>
      </c>
    </row>
    <row r="300" spans="5:15">
      <c r="E300" s="32">
        <v>297</v>
      </c>
      <c r="F300" s="28"/>
      <c r="G300" s="33"/>
      <c r="H300" s="39"/>
      <c r="I300" s="52"/>
      <c r="J300" s="73"/>
      <c r="L300" s="48">
        <v>295</v>
      </c>
      <c r="M300" s="11" t="s">
        <v>13</v>
      </c>
      <c r="N300" s="11" t="s">
        <v>23</v>
      </c>
      <c r="O300" s="11" t="s">
        <v>406</v>
      </c>
    </row>
    <row r="301" spans="5:15">
      <c r="E301" s="32">
        <v>298</v>
      </c>
      <c r="F301" s="28"/>
      <c r="G301" s="33"/>
      <c r="H301" s="39"/>
      <c r="I301" s="52"/>
      <c r="J301" s="73"/>
      <c r="L301" s="48">
        <v>296</v>
      </c>
      <c r="M301" s="11" t="s">
        <v>210</v>
      </c>
      <c r="N301" s="11" t="s">
        <v>17</v>
      </c>
      <c r="O301" s="11" t="s">
        <v>407</v>
      </c>
    </row>
    <row r="302" spans="5:15">
      <c r="E302" s="32">
        <v>299</v>
      </c>
      <c r="F302" s="28"/>
      <c r="G302" s="33"/>
      <c r="H302" s="39"/>
      <c r="I302" s="52"/>
      <c r="J302" s="73"/>
      <c r="L302" s="48">
        <v>297</v>
      </c>
      <c r="M302" s="11" t="s">
        <v>13</v>
      </c>
      <c r="N302" s="11" t="s">
        <v>111</v>
      </c>
      <c r="O302" s="11" t="s">
        <v>408</v>
      </c>
    </row>
    <row r="303" spans="5:15">
      <c r="E303" s="32">
        <v>300</v>
      </c>
      <c r="F303" s="28"/>
      <c r="G303" s="33"/>
      <c r="H303" s="39"/>
      <c r="I303" s="52"/>
      <c r="J303" s="73"/>
      <c r="L303" s="48">
        <v>298</v>
      </c>
      <c r="M303" s="11" t="s">
        <v>141</v>
      </c>
      <c r="N303" s="11" t="s">
        <v>135</v>
      </c>
      <c r="O303" s="11" t="s">
        <v>409</v>
      </c>
    </row>
    <row r="304" spans="5:15">
      <c r="E304" s="32">
        <v>301</v>
      </c>
      <c r="F304" s="28"/>
      <c r="G304" s="33"/>
      <c r="H304" s="39"/>
      <c r="I304" s="52"/>
      <c r="J304" s="73"/>
      <c r="L304" s="48">
        <v>299</v>
      </c>
      <c r="M304" s="11" t="s">
        <v>197</v>
      </c>
      <c r="N304" s="11" t="s">
        <v>17</v>
      </c>
      <c r="O304" s="11" t="s">
        <v>410</v>
      </c>
    </row>
    <row r="305" spans="5:15">
      <c r="E305" s="32">
        <v>302</v>
      </c>
      <c r="F305" s="28"/>
      <c r="G305" s="33"/>
      <c r="H305" s="39"/>
      <c r="I305" s="52"/>
      <c r="J305" s="73"/>
      <c r="L305" s="48">
        <v>300</v>
      </c>
      <c r="M305" s="11" t="s">
        <v>229</v>
      </c>
      <c r="N305" s="11" t="s">
        <v>138</v>
      </c>
      <c r="O305" s="11" t="s">
        <v>411</v>
      </c>
    </row>
    <row r="306" spans="5:15">
      <c r="E306" s="32">
        <v>303</v>
      </c>
      <c r="F306" s="28"/>
      <c r="G306" s="33"/>
      <c r="H306" s="39"/>
      <c r="I306" s="52"/>
      <c r="J306" s="73"/>
      <c r="L306" s="48">
        <v>301</v>
      </c>
      <c r="M306" s="11" t="s">
        <v>141</v>
      </c>
      <c r="N306" s="11" t="s">
        <v>204</v>
      </c>
      <c r="O306" s="11" t="s">
        <v>412</v>
      </c>
    </row>
    <row r="307" spans="5:15">
      <c r="E307" s="32">
        <v>304</v>
      </c>
      <c r="F307" s="28"/>
      <c r="G307" s="33"/>
      <c r="H307" s="39"/>
      <c r="I307" s="52"/>
      <c r="J307" s="73"/>
      <c r="L307" s="48">
        <v>302</v>
      </c>
      <c r="M307" s="11" t="s">
        <v>229</v>
      </c>
      <c r="N307" s="11" t="s">
        <v>179</v>
      </c>
      <c r="O307" s="11" t="s">
        <v>413</v>
      </c>
    </row>
    <row r="308" spans="5:15">
      <c r="E308" s="32">
        <v>305</v>
      </c>
      <c r="F308" s="28"/>
      <c r="G308" s="33"/>
      <c r="H308" s="39"/>
      <c r="I308" s="52"/>
      <c r="J308" s="73"/>
      <c r="L308" s="48">
        <v>303</v>
      </c>
      <c r="M308" s="11" t="s">
        <v>22</v>
      </c>
      <c r="N308" s="11" t="s">
        <v>28</v>
      </c>
      <c r="O308" s="11" t="s">
        <v>414</v>
      </c>
    </row>
    <row r="309" spans="5:15">
      <c r="E309" s="32">
        <v>306</v>
      </c>
      <c r="F309" s="28"/>
      <c r="G309" s="33"/>
      <c r="H309" s="39"/>
      <c r="I309" s="52"/>
      <c r="J309" s="73"/>
      <c r="L309" s="48">
        <v>304</v>
      </c>
      <c r="M309" s="11" t="s">
        <v>124</v>
      </c>
      <c r="N309" s="11" t="s">
        <v>177</v>
      </c>
      <c r="O309" s="11" t="s">
        <v>415</v>
      </c>
    </row>
    <row r="310" spans="5:15">
      <c r="E310" s="32">
        <v>307</v>
      </c>
      <c r="F310" s="28"/>
      <c r="G310" s="33"/>
      <c r="H310" s="39"/>
      <c r="I310" s="52"/>
      <c r="J310" s="73"/>
      <c r="L310" s="48">
        <v>305</v>
      </c>
      <c r="M310" s="11" t="s">
        <v>118</v>
      </c>
      <c r="N310" s="11" t="s">
        <v>85</v>
      </c>
      <c r="O310" s="11" t="s">
        <v>416</v>
      </c>
    </row>
    <row r="311" spans="5:15">
      <c r="E311" s="32">
        <v>308</v>
      </c>
      <c r="F311" s="28"/>
      <c r="G311" s="33"/>
      <c r="H311" s="39"/>
      <c r="I311" s="52"/>
      <c r="J311" s="73"/>
      <c r="L311" s="48">
        <v>306</v>
      </c>
      <c r="M311" s="11" t="s">
        <v>121</v>
      </c>
      <c r="N311" s="11" t="s">
        <v>73</v>
      </c>
      <c r="O311" s="11" t="s">
        <v>417</v>
      </c>
    </row>
    <row r="312" spans="5:15">
      <c r="E312" s="32">
        <v>309</v>
      </c>
      <c r="F312" s="28"/>
      <c r="G312" s="33"/>
      <c r="H312" s="39"/>
      <c r="I312" s="52"/>
      <c r="J312" s="73"/>
      <c r="L312" s="48">
        <v>307</v>
      </c>
      <c r="M312" s="11" t="s">
        <v>158</v>
      </c>
      <c r="N312" s="11" t="s">
        <v>65</v>
      </c>
      <c r="O312" s="11" t="s">
        <v>418</v>
      </c>
    </row>
    <row r="313" spans="5:15">
      <c r="E313" s="32">
        <v>310</v>
      </c>
      <c r="F313" s="28"/>
      <c r="G313" s="33"/>
      <c r="H313" s="39"/>
      <c r="I313" s="52"/>
      <c r="J313" s="73"/>
      <c r="L313" s="48">
        <v>308</v>
      </c>
      <c r="M313" s="11" t="s">
        <v>13</v>
      </c>
      <c r="N313" s="11" t="s">
        <v>177</v>
      </c>
      <c r="O313" s="11" t="s">
        <v>419</v>
      </c>
    </row>
    <row r="314" spans="5:15">
      <c r="E314" s="32">
        <v>311</v>
      </c>
      <c r="F314" s="28"/>
      <c r="G314" s="33"/>
      <c r="H314" s="39"/>
      <c r="I314" s="52"/>
      <c r="J314" s="73"/>
      <c r="L314" s="48">
        <v>309</v>
      </c>
      <c r="M314" s="11" t="s">
        <v>69</v>
      </c>
      <c r="N314" s="11" t="s">
        <v>127</v>
      </c>
      <c r="O314" s="11" t="s">
        <v>420</v>
      </c>
    </row>
    <row r="315" spans="5:15">
      <c r="E315" s="32">
        <v>312</v>
      </c>
      <c r="F315" s="28"/>
      <c r="G315" s="33"/>
      <c r="H315" s="39"/>
      <c r="I315" s="52"/>
      <c r="J315" s="73"/>
      <c r="L315" s="48">
        <v>310</v>
      </c>
      <c r="M315" s="11" t="s">
        <v>231</v>
      </c>
      <c r="N315" s="11" t="s">
        <v>145</v>
      </c>
      <c r="O315" s="11" t="s">
        <v>421</v>
      </c>
    </row>
    <row r="316" spans="5:15">
      <c r="E316" s="32">
        <v>313</v>
      </c>
      <c r="F316" s="28"/>
      <c r="G316" s="33"/>
      <c r="H316" s="39"/>
      <c r="I316" s="52"/>
      <c r="J316" s="73"/>
      <c r="L316" s="48">
        <v>311</v>
      </c>
      <c r="M316" s="11" t="s">
        <v>82</v>
      </c>
      <c r="N316" s="11" t="s">
        <v>212</v>
      </c>
      <c r="O316" s="11" t="s">
        <v>422</v>
      </c>
    </row>
    <row r="317" spans="5:15">
      <c r="E317" s="32">
        <v>314</v>
      </c>
      <c r="F317" s="28"/>
      <c r="G317" s="33"/>
      <c r="H317" s="39"/>
      <c r="I317" s="52"/>
      <c r="J317" s="73"/>
      <c r="L317" s="48">
        <v>312</v>
      </c>
      <c r="M317" s="11" t="s">
        <v>22</v>
      </c>
      <c r="N317" s="11" t="s">
        <v>75</v>
      </c>
      <c r="O317" s="11" t="s">
        <v>423</v>
      </c>
    </row>
    <row r="318" spans="5:15">
      <c r="E318" s="32">
        <v>315</v>
      </c>
      <c r="F318" s="28"/>
      <c r="G318" s="33"/>
      <c r="H318" s="39"/>
      <c r="I318" s="52"/>
      <c r="J318" s="73"/>
      <c r="L318" s="48">
        <v>313</v>
      </c>
      <c r="M318" s="11" t="s">
        <v>41</v>
      </c>
      <c r="N318" s="11" t="s">
        <v>20</v>
      </c>
      <c r="O318" s="11" t="s">
        <v>424</v>
      </c>
    </row>
    <row r="319" spans="5:15">
      <c r="E319" s="32">
        <v>316</v>
      </c>
      <c r="F319" s="28"/>
      <c r="G319" s="33"/>
      <c r="H319" s="39"/>
      <c r="I319" s="52"/>
      <c r="J319" s="73"/>
      <c r="L319" s="48">
        <v>314</v>
      </c>
      <c r="M319" s="11" t="s">
        <v>77</v>
      </c>
      <c r="N319" s="11" t="s">
        <v>85</v>
      </c>
      <c r="O319" s="11" t="s">
        <v>425</v>
      </c>
    </row>
    <row r="320" spans="5:15">
      <c r="E320" s="32">
        <v>317</v>
      </c>
      <c r="F320" s="28"/>
      <c r="G320" s="33"/>
      <c r="H320" s="39"/>
      <c r="I320" s="52"/>
      <c r="J320" s="73"/>
      <c r="L320" s="48">
        <v>315</v>
      </c>
      <c r="M320" s="11" t="s">
        <v>90</v>
      </c>
      <c r="N320" s="11" t="s">
        <v>153</v>
      </c>
      <c r="O320" s="11" t="s">
        <v>426</v>
      </c>
    </row>
    <row r="321" spans="5:15">
      <c r="E321" s="32">
        <v>318</v>
      </c>
      <c r="F321" s="28"/>
      <c r="G321" s="33"/>
      <c r="H321" s="39"/>
      <c r="I321" s="52"/>
      <c r="J321" s="73"/>
      <c r="L321" s="48">
        <v>316</v>
      </c>
      <c r="M321" s="11" t="s">
        <v>116</v>
      </c>
      <c r="N321" s="11" t="s">
        <v>142</v>
      </c>
      <c r="O321" s="11" t="s">
        <v>427</v>
      </c>
    </row>
    <row r="322" spans="5:15">
      <c r="E322" s="32">
        <v>319</v>
      </c>
      <c r="F322" s="28"/>
      <c r="G322" s="33"/>
      <c r="H322" s="39"/>
      <c r="I322" s="52"/>
      <c r="J322" s="73"/>
      <c r="L322" s="48">
        <v>317</v>
      </c>
      <c r="M322" s="11" t="s">
        <v>56</v>
      </c>
      <c r="N322" s="11" t="s">
        <v>20</v>
      </c>
      <c r="O322" s="11" t="s">
        <v>428</v>
      </c>
    </row>
    <row r="323" spans="5:15">
      <c r="E323" s="32">
        <v>320</v>
      </c>
      <c r="F323" s="28"/>
      <c r="G323" s="33"/>
      <c r="H323" s="39"/>
      <c r="I323" s="52"/>
      <c r="J323" s="73"/>
      <c r="L323" s="48">
        <v>318</v>
      </c>
      <c r="M323" s="11" t="s">
        <v>64</v>
      </c>
      <c r="N323" s="11" t="s">
        <v>429</v>
      </c>
      <c r="O323" s="11" t="s">
        <v>430</v>
      </c>
    </row>
    <row r="324" spans="5:15">
      <c r="E324" s="32">
        <v>321</v>
      </c>
      <c r="F324" s="28"/>
      <c r="G324" s="33"/>
      <c r="H324" s="39"/>
      <c r="I324" s="52"/>
      <c r="J324" s="73"/>
      <c r="L324" s="48">
        <v>319</v>
      </c>
      <c r="M324" s="11" t="s">
        <v>16</v>
      </c>
      <c r="N324" s="11" t="s">
        <v>401</v>
      </c>
      <c r="O324" s="11" t="s">
        <v>431</v>
      </c>
    </row>
    <row r="325" spans="5:15">
      <c r="E325" s="32">
        <v>322</v>
      </c>
      <c r="F325" s="28"/>
      <c r="G325" s="33"/>
      <c r="H325" s="39"/>
      <c r="I325" s="52"/>
      <c r="J325" s="73"/>
      <c r="L325" s="48">
        <v>320</v>
      </c>
      <c r="M325" s="11" t="s">
        <v>13</v>
      </c>
      <c r="N325" s="11" t="s">
        <v>61</v>
      </c>
      <c r="O325" s="11" t="s">
        <v>432</v>
      </c>
    </row>
    <row r="326" spans="5:15">
      <c r="E326" s="32">
        <v>323</v>
      </c>
      <c r="F326" s="28"/>
      <c r="G326" s="33"/>
      <c r="H326" s="39"/>
      <c r="I326" s="52"/>
      <c r="J326" s="73"/>
      <c r="L326" s="48">
        <v>321</v>
      </c>
      <c r="M326" s="11" t="s">
        <v>160</v>
      </c>
      <c r="N326" s="11" t="s">
        <v>42</v>
      </c>
      <c r="O326" s="11" t="s">
        <v>433</v>
      </c>
    </row>
    <row r="327" spans="5:15">
      <c r="E327" s="32">
        <v>324</v>
      </c>
      <c r="F327" s="28"/>
      <c r="G327" s="33"/>
      <c r="H327" s="39"/>
      <c r="I327" s="52"/>
      <c r="J327" s="73"/>
      <c r="L327" s="48">
        <v>322</v>
      </c>
      <c r="M327" s="11" t="s">
        <v>176</v>
      </c>
      <c r="N327" s="11" t="s">
        <v>48</v>
      </c>
      <c r="O327" s="11" t="s">
        <v>434</v>
      </c>
    </row>
    <row r="328" spans="5:15">
      <c r="E328" s="32">
        <v>325</v>
      </c>
      <c r="F328" s="28"/>
      <c r="G328" s="33"/>
      <c r="H328" s="39"/>
      <c r="I328" s="52"/>
      <c r="J328" s="73"/>
      <c r="L328" s="48">
        <v>323</v>
      </c>
      <c r="M328" s="11" t="s">
        <v>316</v>
      </c>
      <c r="N328" s="11" t="s">
        <v>212</v>
      </c>
      <c r="O328" s="11" t="s">
        <v>435</v>
      </c>
    </row>
    <row r="329" spans="5:15">
      <c r="E329" s="32">
        <v>326</v>
      </c>
      <c r="F329" s="28"/>
      <c r="G329" s="33"/>
      <c r="H329" s="39"/>
      <c r="I329" s="52"/>
      <c r="J329" s="73"/>
      <c r="L329" s="48">
        <v>324</v>
      </c>
      <c r="M329" s="11" t="s">
        <v>25</v>
      </c>
      <c r="N329" s="11" t="s">
        <v>57</v>
      </c>
      <c r="O329" s="11" t="s">
        <v>436</v>
      </c>
    </row>
    <row r="330" spans="5:15">
      <c r="E330" s="32">
        <v>327</v>
      </c>
      <c r="F330" s="28"/>
      <c r="G330" s="33"/>
      <c r="H330" s="39"/>
      <c r="I330" s="52"/>
      <c r="J330" s="73"/>
      <c r="L330" s="48">
        <v>325</v>
      </c>
      <c r="M330" s="11" t="s">
        <v>166</v>
      </c>
      <c r="N330" s="11" t="s">
        <v>83</v>
      </c>
      <c r="O330" s="11" t="s">
        <v>437</v>
      </c>
    </row>
    <row r="331" spans="5:15">
      <c r="E331" s="32">
        <v>328</v>
      </c>
      <c r="F331" s="28"/>
      <c r="G331" s="33"/>
      <c r="H331" s="39"/>
      <c r="I331" s="52"/>
      <c r="J331" s="73"/>
      <c r="L331" s="48">
        <v>326</v>
      </c>
      <c r="M331" s="11" t="s">
        <v>141</v>
      </c>
      <c r="N331" s="11" t="s">
        <v>20</v>
      </c>
      <c r="O331" s="11" t="s">
        <v>438</v>
      </c>
    </row>
    <row r="332" spans="5:15">
      <c r="E332" s="32">
        <v>329</v>
      </c>
      <c r="F332" s="28"/>
      <c r="G332" s="33"/>
      <c r="H332" s="39"/>
      <c r="I332" s="52"/>
      <c r="J332" s="73"/>
      <c r="L332" s="48">
        <v>327</v>
      </c>
      <c r="M332" s="11" t="s">
        <v>299</v>
      </c>
      <c r="N332" s="11" t="s">
        <v>14</v>
      </c>
      <c r="O332" s="11" t="s">
        <v>439</v>
      </c>
    </row>
    <row r="333" spans="5:15">
      <c r="E333" s="32">
        <v>330</v>
      </c>
      <c r="F333" s="28"/>
      <c r="G333" s="33"/>
      <c r="H333" s="39"/>
      <c r="I333" s="52"/>
      <c r="J333" s="73"/>
      <c r="L333" s="48">
        <v>328</v>
      </c>
      <c r="M333" s="11" t="s">
        <v>169</v>
      </c>
      <c r="N333" s="11" t="s">
        <v>105</v>
      </c>
      <c r="O333" s="11" t="s">
        <v>440</v>
      </c>
    </row>
    <row r="334" spans="5:15">
      <c r="E334" s="32">
        <v>331</v>
      </c>
      <c r="F334" s="28"/>
      <c r="G334" s="33"/>
      <c r="H334" s="39"/>
      <c r="I334" s="52"/>
      <c r="J334" s="73"/>
      <c r="L334" s="48">
        <v>329</v>
      </c>
      <c r="M334" s="11" t="s">
        <v>95</v>
      </c>
      <c r="N334" s="11" t="s">
        <v>105</v>
      </c>
      <c r="O334" s="11" t="s">
        <v>441</v>
      </c>
    </row>
    <row r="335" spans="5:15">
      <c r="E335" s="32">
        <v>332</v>
      </c>
      <c r="F335" s="28"/>
      <c r="G335" s="33"/>
      <c r="H335" s="39"/>
      <c r="I335" s="52"/>
      <c r="J335" s="73"/>
      <c r="L335" s="48">
        <v>330</v>
      </c>
      <c r="M335" s="11" t="s">
        <v>35</v>
      </c>
      <c r="N335" s="11" t="s">
        <v>65</v>
      </c>
      <c r="O335" s="11" t="s">
        <v>442</v>
      </c>
    </row>
    <row r="336" spans="5:15">
      <c r="E336" s="32">
        <v>333</v>
      </c>
      <c r="F336" s="28"/>
      <c r="G336" s="33"/>
      <c r="H336" s="39"/>
      <c r="I336" s="52"/>
      <c r="J336" s="73"/>
      <c r="L336" s="48">
        <v>331</v>
      </c>
      <c r="M336" s="11" t="s">
        <v>32</v>
      </c>
      <c r="N336" s="11" t="s">
        <v>181</v>
      </c>
      <c r="O336" s="11" t="s">
        <v>443</v>
      </c>
    </row>
    <row r="337" spans="5:15">
      <c r="E337" s="32">
        <v>334</v>
      </c>
      <c r="F337" s="28"/>
      <c r="G337" s="33"/>
      <c r="H337" s="39"/>
      <c r="I337" s="52"/>
      <c r="J337" s="73"/>
      <c r="L337" s="48">
        <v>332</v>
      </c>
      <c r="M337" s="11" t="s">
        <v>226</v>
      </c>
      <c r="N337" s="11" t="s">
        <v>85</v>
      </c>
      <c r="O337" s="11" t="s">
        <v>444</v>
      </c>
    </row>
    <row r="338" spans="5:15">
      <c r="E338" s="32">
        <v>335</v>
      </c>
      <c r="F338" s="28"/>
      <c r="G338" s="33"/>
      <c r="H338" s="39"/>
      <c r="I338" s="52"/>
      <c r="J338" s="73"/>
      <c r="L338" s="48">
        <v>333</v>
      </c>
      <c r="M338" s="11" t="s">
        <v>124</v>
      </c>
      <c r="N338" s="11" t="s">
        <v>147</v>
      </c>
      <c r="O338" s="11" t="s">
        <v>445</v>
      </c>
    </row>
    <row r="339" spans="5:15">
      <c r="E339" s="32">
        <v>336</v>
      </c>
      <c r="F339" s="28"/>
      <c r="G339" s="33"/>
      <c r="H339" s="39"/>
      <c r="I339" s="52"/>
      <c r="J339" s="73"/>
      <c r="L339" s="48">
        <v>334</v>
      </c>
      <c r="M339" s="11" t="s">
        <v>169</v>
      </c>
      <c r="N339" s="11" t="s">
        <v>54</v>
      </c>
      <c r="O339" s="11" t="s">
        <v>446</v>
      </c>
    </row>
    <row r="340" spans="5:15">
      <c r="E340" s="32">
        <v>337</v>
      </c>
      <c r="F340" s="28"/>
      <c r="G340" s="33"/>
      <c r="H340" s="39"/>
      <c r="I340" s="52"/>
      <c r="J340" s="73"/>
      <c r="L340" s="48">
        <v>335</v>
      </c>
      <c r="M340" s="11" t="s">
        <v>299</v>
      </c>
      <c r="N340" s="11" t="s">
        <v>173</v>
      </c>
      <c r="O340" s="11" t="s">
        <v>447</v>
      </c>
    </row>
    <row r="341" spans="5:15">
      <c r="E341" s="32">
        <v>338</v>
      </c>
      <c r="F341" s="28"/>
      <c r="G341" s="33"/>
      <c r="H341" s="39"/>
      <c r="I341" s="52"/>
      <c r="J341" s="73"/>
      <c r="L341" s="48">
        <v>336</v>
      </c>
      <c r="M341" s="11" t="s">
        <v>53</v>
      </c>
      <c r="N341" s="11" t="s">
        <v>39</v>
      </c>
      <c r="O341" s="11" t="s">
        <v>448</v>
      </c>
    </row>
    <row r="342" spans="5:15">
      <c r="E342" s="32">
        <v>339</v>
      </c>
      <c r="F342" s="28"/>
      <c r="G342" s="33"/>
      <c r="H342" s="39"/>
      <c r="I342" s="52"/>
      <c r="J342" s="73"/>
      <c r="L342" s="48">
        <v>337</v>
      </c>
      <c r="M342" s="11" t="s">
        <v>16</v>
      </c>
      <c r="N342" s="11" t="s">
        <v>127</v>
      </c>
      <c r="O342" s="11" t="s">
        <v>449</v>
      </c>
    </row>
    <row r="343" spans="5:15">
      <c r="E343" s="32">
        <v>340</v>
      </c>
      <c r="F343" s="28"/>
      <c r="G343" s="33"/>
      <c r="H343" s="39"/>
      <c r="I343" s="52"/>
      <c r="J343" s="73"/>
      <c r="L343" s="48">
        <v>338</v>
      </c>
      <c r="M343" s="11" t="s">
        <v>41</v>
      </c>
      <c r="N343" s="11" t="s">
        <v>45</v>
      </c>
      <c r="O343" s="11" t="s">
        <v>450</v>
      </c>
    </row>
    <row r="344" spans="5:15">
      <c r="E344" s="32">
        <v>341</v>
      </c>
      <c r="F344" s="28"/>
      <c r="G344" s="33"/>
      <c r="H344" s="39"/>
      <c r="I344" s="52"/>
      <c r="J344" s="73"/>
      <c r="L344" s="48">
        <v>339</v>
      </c>
      <c r="M344" s="11" t="s">
        <v>116</v>
      </c>
      <c r="N344" s="11" t="s">
        <v>14</v>
      </c>
      <c r="O344" s="11" t="s">
        <v>451</v>
      </c>
    </row>
    <row r="345" spans="5:15">
      <c r="E345" s="32">
        <v>342</v>
      </c>
      <c r="F345" s="28"/>
      <c r="G345" s="33"/>
      <c r="H345" s="39"/>
      <c r="I345" s="52"/>
      <c r="J345" s="73"/>
      <c r="L345" s="48">
        <v>340</v>
      </c>
      <c r="M345" s="11" t="s">
        <v>67</v>
      </c>
      <c r="N345" s="11" t="s">
        <v>177</v>
      </c>
      <c r="O345" s="11" t="s">
        <v>452</v>
      </c>
    </row>
    <row r="346" spans="5:15">
      <c r="E346" s="32">
        <v>343</v>
      </c>
      <c r="F346" s="28"/>
      <c r="G346" s="33"/>
      <c r="H346" s="39"/>
      <c r="I346" s="52"/>
      <c r="J346" s="73"/>
      <c r="L346" s="48">
        <v>341</v>
      </c>
      <c r="M346" s="11" t="s">
        <v>87</v>
      </c>
      <c r="N346" s="11" t="s">
        <v>127</v>
      </c>
      <c r="O346" s="11" t="s">
        <v>453</v>
      </c>
    </row>
    <row r="347" spans="5:15">
      <c r="E347" s="32">
        <v>344</v>
      </c>
      <c r="F347" s="28"/>
      <c r="G347" s="33"/>
      <c r="H347" s="39"/>
      <c r="I347" s="52"/>
      <c r="J347" s="73"/>
      <c r="L347" s="48">
        <v>342</v>
      </c>
      <c r="M347" s="11" t="s">
        <v>53</v>
      </c>
      <c r="N347" s="11" t="s">
        <v>65</v>
      </c>
      <c r="O347" s="11" t="s">
        <v>454</v>
      </c>
    </row>
    <row r="348" spans="5:15">
      <c r="E348" s="32">
        <v>345</v>
      </c>
      <c r="F348" s="28"/>
      <c r="G348" s="33"/>
      <c r="H348" s="39"/>
      <c r="I348" s="52"/>
      <c r="J348" s="73"/>
      <c r="L348" s="48">
        <v>343</v>
      </c>
      <c r="M348" s="11" t="s">
        <v>64</v>
      </c>
      <c r="N348" s="11" t="s">
        <v>145</v>
      </c>
      <c r="O348" s="11" t="s">
        <v>455</v>
      </c>
    </row>
    <row r="349" spans="5:15">
      <c r="E349" s="32">
        <v>346</v>
      </c>
      <c r="F349" s="28"/>
      <c r="G349" s="33"/>
      <c r="H349" s="39"/>
      <c r="I349" s="52"/>
      <c r="J349" s="73"/>
      <c r="L349" s="48">
        <v>344</v>
      </c>
      <c r="M349" s="11" t="s">
        <v>124</v>
      </c>
      <c r="N349" s="11" t="s">
        <v>429</v>
      </c>
      <c r="O349" s="11" t="s">
        <v>456</v>
      </c>
    </row>
    <row r="350" spans="5:15">
      <c r="E350" s="32">
        <v>347</v>
      </c>
      <c r="F350" s="28"/>
      <c r="G350" s="33"/>
      <c r="H350" s="39"/>
      <c r="I350" s="52"/>
      <c r="J350" s="73"/>
      <c r="L350" s="48">
        <v>345</v>
      </c>
      <c r="M350" s="11" t="s">
        <v>82</v>
      </c>
      <c r="N350" s="11" t="s">
        <v>80</v>
      </c>
      <c r="O350" s="11" t="s">
        <v>457</v>
      </c>
    </row>
    <row r="351" spans="5:15">
      <c r="E351" s="32">
        <v>348</v>
      </c>
      <c r="F351" s="28"/>
      <c r="G351" s="33"/>
      <c r="H351" s="39"/>
      <c r="I351" s="52"/>
      <c r="J351" s="73"/>
      <c r="L351" s="48">
        <v>346</v>
      </c>
      <c r="M351" s="11" t="s">
        <v>30</v>
      </c>
      <c r="N351" s="11" t="s">
        <v>135</v>
      </c>
      <c r="O351" s="11" t="s">
        <v>458</v>
      </c>
    </row>
    <row r="352" spans="5:15">
      <c r="E352" s="32">
        <v>349</v>
      </c>
      <c r="F352" s="28"/>
      <c r="G352" s="33"/>
      <c r="H352" s="39"/>
      <c r="I352" s="52"/>
      <c r="J352" s="73"/>
      <c r="L352" s="48">
        <v>347</v>
      </c>
      <c r="M352" s="11" t="s">
        <v>35</v>
      </c>
      <c r="N352" s="11" t="s">
        <v>23</v>
      </c>
      <c r="O352" s="11" t="s">
        <v>459</v>
      </c>
    </row>
    <row r="353" spans="5:15">
      <c r="E353" s="32">
        <v>350</v>
      </c>
      <c r="F353" s="28"/>
      <c r="G353" s="33"/>
      <c r="H353" s="39"/>
      <c r="I353" s="52"/>
      <c r="J353" s="73"/>
      <c r="L353" s="48">
        <v>348</v>
      </c>
      <c r="M353" s="11" t="s">
        <v>316</v>
      </c>
      <c r="N353" s="11" t="s">
        <v>193</v>
      </c>
      <c r="O353" s="11" t="s">
        <v>460</v>
      </c>
    </row>
    <row r="354" spans="5:15">
      <c r="E354" s="32">
        <v>351</v>
      </c>
      <c r="F354" s="28"/>
      <c r="G354" s="33"/>
      <c r="H354" s="39"/>
      <c r="I354" s="52"/>
      <c r="J354" s="73"/>
      <c r="L354" s="48">
        <v>349</v>
      </c>
      <c r="M354" s="11" t="s">
        <v>87</v>
      </c>
      <c r="N354" s="11" t="s">
        <v>78</v>
      </c>
      <c r="O354" s="11" t="s">
        <v>461</v>
      </c>
    </row>
    <row r="355" spans="5:15">
      <c r="E355" s="32">
        <v>352</v>
      </c>
      <c r="F355" s="28"/>
      <c r="G355" s="33"/>
      <c r="H355" s="39"/>
      <c r="I355" s="52"/>
      <c r="J355" s="73"/>
      <c r="L355" s="48">
        <v>350</v>
      </c>
      <c r="M355" s="11" t="s">
        <v>53</v>
      </c>
      <c r="N355" s="11" t="s">
        <v>48</v>
      </c>
      <c r="O355" s="11" t="s">
        <v>462</v>
      </c>
    </row>
    <row r="356" spans="5:15">
      <c r="E356" s="32">
        <v>353</v>
      </c>
      <c r="F356" s="28"/>
      <c r="G356" s="33"/>
      <c r="H356" s="39"/>
      <c r="I356" s="52"/>
      <c r="J356" s="73"/>
      <c r="L356" s="48">
        <v>351</v>
      </c>
      <c r="M356" s="11" t="s">
        <v>169</v>
      </c>
      <c r="N356" s="11" t="s">
        <v>153</v>
      </c>
      <c r="O356" s="11" t="s">
        <v>463</v>
      </c>
    </row>
    <row r="357" spans="5:15">
      <c r="E357" s="32">
        <v>354</v>
      </c>
      <c r="F357" s="28"/>
      <c r="G357" s="33"/>
      <c r="H357" s="39"/>
      <c r="I357" s="52"/>
      <c r="J357" s="73"/>
      <c r="L357" s="48">
        <v>352</v>
      </c>
      <c r="M357" s="11" t="s">
        <v>47</v>
      </c>
      <c r="N357" s="11" t="s">
        <v>59</v>
      </c>
      <c r="O357" s="11" t="s">
        <v>464</v>
      </c>
    </row>
    <row r="358" spans="5:15">
      <c r="E358" s="32">
        <v>355</v>
      </c>
      <c r="F358" s="28"/>
      <c r="G358" s="33"/>
      <c r="H358" s="39"/>
      <c r="I358" s="52"/>
      <c r="J358" s="73"/>
      <c r="L358" s="48">
        <v>353</v>
      </c>
      <c r="M358" s="11" t="s">
        <v>220</v>
      </c>
      <c r="N358" s="11" t="s">
        <v>111</v>
      </c>
      <c r="O358" s="11" t="s">
        <v>465</v>
      </c>
    </row>
    <row r="359" spans="5:15">
      <c r="E359" s="32">
        <v>356</v>
      </c>
      <c r="F359" s="28"/>
      <c r="G359" s="33"/>
      <c r="H359" s="39"/>
      <c r="I359" s="52"/>
      <c r="J359" s="73"/>
      <c r="L359" s="48">
        <v>354</v>
      </c>
      <c r="M359" s="11" t="s">
        <v>69</v>
      </c>
      <c r="N359" s="11" t="s">
        <v>179</v>
      </c>
      <c r="O359" s="11" t="s">
        <v>466</v>
      </c>
    </row>
    <row r="360" spans="5:15">
      <c r="E360" s="32">
        <v>357</v>
      </c>
      <c r="F360" s="28"/>
      <c r="G360" s="33"/>
      <c r="H360" s="39"/>
      <c r="I360" s="52"/>
      <c r="J360" s="73"/>
      <c r="L360" s="48">
        <v>355</v>
      </c>
      <c r="M360" s="11" t="s">
        <v>121</v>
      </c>
      <c r="N360" s="11" t="s">
        <v>96</v>
      </c>
      <c r="O360" s="11" t="s">
        <v>467</v>
      </c>
    </row>
    <row r="361" spans="5:15">
      <c r="E361" s="32">
        <v>358</v>
      </c>
      <c r="F361" s="28"/>
      <c r="G361" s="33"/>
      <c r="H361" s="39"/>
      <c r="I361" s="52"/>
      <c r="J361" s="73"/>
      <c r="L361" s="48">
        <v>356</v>
      </c>
      <c r="M361" s="11" t="s">
        <v>90</v>
      </c>
      <c r="N361" s="11" t="s">
        <v>93</v>
      </c>
      <c r="O361" s="11" t="s">
        <v>468</v>
      </c>
    </row>
    <row r="362" spans="5:15">
      <c r="E362" s="32">
        <v>359</v>
      </c>
      <c r="F362" s="28"/>
      <c r="G362" s="33"/>
      <c r="H362" s="39"/>
      <c r="I362" s="52"/>
      <c r="J362" s="73"/>
      <c r="L362" s="48">
        <v>357</v>
      </c>
      <c r="M362" s="11" t="s">
        <v>116</v>
      </c>
      <c r="N362" s="11" t="s">
        <v>142</v>
      </c>
      <c r="O362" s="11" t="s">
        <v>469</v>
      </c>
    </row>
    <row r="363" spans="5:15">
      <c r="E363" s="32">
        <v>360</v>
      </c>
      <c r="F363" s="28"/>
      <c r="G363" s="33"/>
      <c r="H363" s="39"/>
      <c r="I363" s="52"/>
      <c r="J363" s="73"/>
      <c r="L363" s="48">
        <v>358</v>
      </c>
      <c r="M363" s="11" t="s">
        <v>166</v>
      </c>
      <c r="N363" s="11" t="s">
        <v>96</v>
      </c>
      <c r="O363" s="11" t="s">
        <v>470</v>
      </c>
    </row>
    <row r="364" spans="5:15">
      <c r="E364" s="32">
        <v>361</v>
      </c>
      <c r="F364" s="28"/>
      <c r="G364" s="33"/>
      <c r="H364" s="39"/>
      <c r="I364" s="52"/>
      <c r="J364" s="73"/>
      <c r="L364" s="48">
        <v>359</v>
      </c>
      <c r="M364" s="11" t="s">
        <v>41</v>
      </c>
      <c r="N364" s="11" t="s">
        <v>54</v>
      </c>
      <c r="O364" s="11" t="s">
        <v>471</v>
      </c>
    </row>
    <row r="365" spans="5:15">
      <c r="E365" s="32">
        <v>362</v>
      </c>
      <c r="F365" s="28"/>
      <c r="G365" s="33"/>
      <c r="H365" s="39"/>
      <c r="I365" s="52"/>
      <c r="J365" s="73"/>
      <c r="L365" s="48">
        <v>360</v>
      </c>
      <c r="M365" s="11" t="s">
        <v>203</v>
      </c>
      <c r="N365" s="11" t="s">
        <v>401</v>
      </c>
      <c r="O365" s="11" t="s">
        <v>472</v>
      </c>
    </row>
    <row r="366" spans="5:15">
      <c r="E366" s="32">
        <v>363</v>
      </c>
      <c r="F366" s="28"/>
      <c r="G366" s="33"/>
      <c r="H366" s="39"/>
      <c r="I366" s="52"/>
      <c r="J366" s="73"/>
      <c r="L366" s="48">
        <v>361</v>
      </c>
      <c r="M366" s="11" t="s">
        <v>35</v>
      </c>
      <c r="N366" s="11" t="s">
        <v>83</v>
      </c>
      <c r="O366" s="11" t="s">
        <v>473</v>
      </c>
    </row>
    <row r="367" spans="5:15">
      <c r="E367" s="32">
        <v>364</v>
      </c>
      <c r="F367" s="28"/>
      <c r="G367" s="33"/>
      <c r="H367" s="39"/>
      <c r="I367" s="52"/>
      <c r="J367" s="73"/>
      <c r="L367" s="48">
        <v>362</v>
      </c>
      <c r="M367" s="11" t="s">
        <v>87</v>
      </c>
      <c r="N367" s="11" t="s">
        <v>401</v>
      </c>
      <c r="O367" s="11" t="s">
        <v>474</v>
      </c>
    </row>
    <row r="368" spans="5:15">
      <c r="E368" s="32">
        <v>365</v>
      </c>
      <c r="F368" s="28"/>
      <c r="G368" s="33"/>
      <c r="H368" s="39"/>
      <c r="I368" s="52"/>
      <c r="J368" s="73"/>
      <c r="L368" s="48">
        <v>363</v>
      </c>
      <c r="M368" s="11" t="s">
        <v>226</v>
      </c>
      <c r="N368" s="11" t="s">
        <v>39</v>
      </c>
      <c r="O368" s="11" t="s">
        <v>475</v>
      </c>
    </row>
    <row r="369" spans="5:15">
      <c r="E369" s="32">
        <v>366</v>
      </c>
      <c r="F369" s="28"/>
      <c r="G369" s="33"/>
      <c r="H369" s="39"/>
      <c r="I369" s="52"/>
      <c r="J369" s="73"/>
      <c r="L369" s="48">
        <v>364</v>
      </c>
      <c r="M369" s="11" t="s">
        <v>95</v>
      </c>
      <c r="N369" s="11" t="s">
        <v>173</v>
      </c>
      <c r="O369" s="11" t="s">
        <v>476</v>
      </c>
    </row>
    <row r="370" spans="5:15">
      <c r="E370" s="32">
        <v>367</v>
      </c>
      <c r="F370" s="28"/>
      <c r="G370" s="33"/>
      <c r="H370" s="39"/>
      <c r="I370" s="52"/>
      <c r="J370" s="73"/>
      <c r="L370" s="48">
        <v>365</v>
      </c>
      <c r="M370" s="11" t="s">
        <v>229</v>
      </c>
      <c r="N370" s="11" t="s">
        <v>98</v>
      </c>
      <c r="O370" s="11" t="s">
        <v>477</v>
      </c>
    </row>
    <row r="371" spans="5:15">
      <c r="E371" s="32">
        <v>368</v>
      </c>
      <c r="F371" s="28"/>
      <c r="G371" s="33"/>
      <c r="H371" s="39"/>
      <c r="I371" s="52"/>
      <c r="J371" s="73"/>
      <c r="L371" s="48">
        <v>366</v>
      </c>
      <c r="M371" s="11" t="s">
        <v>316</v>
      </c>
      <c r="N371" s="11" t="s">
        <v>57</v>
      </c>
      <c r="O371" s="11" t="s">
        <v>478</v>
      </c>
    </row>
    <row r="372" spans="5:15">
      <c r="E372" s="32">
        <v>369</v>
      </c>
      <c r="F372" s="28"/>
      <c r="G372" s="33"/>
      <c r="H372" s="39"/>
      <c r="I372" s="52"/>
      <c r="J372" s="73"/>
      <c r="L372" s="48">
        <v>367</v>
      </c>
      <c r="M372" s="11" t="s">
        <v>32</v>
      </c>
      <c r="N372" s="11" t="s">
        <v>93</v>
      </c>
      <c r="O372" s="11" t="s">
        <v>479</v>
      </c>
    </row>
    <row r="373" spans="5:15">
      <c r="E373" s="32">
        <v>370</v>
      </c>
      <c r="F373" s="28"/>
      <c r="G373" s="33"/>
      <c r="H373" s="39"/>
      <c r="I373" s="52"/>
      <c r="J373" s="73"/>
      <c r="L373" s="48">
        <v>368</v>
      </c>
      <c r="M373" s="11" t="s">
        <v>30</v>
      </c>
      <c r="N373" s="11" t="s">
        <v>105</v>
      </c>
      <c r="O373" s="11" t="s">
        <v>480</v>
      </c>
    </row>
    <row r="374" spans="5:15">
      <c r="E374" s="32">
        <v>371</v>
      </c>
      <c r="F374" s="28"/>
      <c r="G374" s="33"/>
      <c r="H374" s="39"/>
      <c r="I374" s="52"/>
      <c r="J374" s="73"/>
      <c r="L374" s="48">
        <v>369</v>
      </c>
      <c r="M374" s="11" t="s">
        <v>30</v>
      </c>
      <c r="N374" s="11" t="s">
        <v>88</v>
      </c>
      <c r="O374" s="11" t="s">
        <v>481</v>
      </c>
    </row>
    <row r="375" spans="5:15">
      <c r="E375" s="32">
        <v>372</v>
      </c>
      <c r="F375" s="28"/>
      <c r="G375" s="33"/>
      <c r="H375" s="39"/>
      <c r="I375" s="52"/>
      <c r="J375" s="73"/>
      <c r="L375" s="48">
        <v>370</v>
      </c>
      <c r="M375" s="11" t="s">
        <v>124</v>
      </c>
      <c r="N375" s="11" t="s">
        <v>78</v>
      </c>
      <c r="O375" s="11" t="s">
        <v>482</v>
      </c>
    </row>
    <row r="376" spans="5:15">
      <c r="E376" s="32">
        <v>373</v>
      </c>
      <c r="F376" s="28"/>
      <c r="G376" s="33"/>
      <c r="H376" s="39"/>
      <c r="I376" s="52"/>
      <c r="J376" s="73"/>
      <c r="L376" s="48">
        <v>371</v>
      </c>
      <c r="M376" s="11" t="s">
        <v>187</v>
      </c>
      <c r="N376" s="11" t="s">
        <v>23</v>
      </c>
      <c r="O376" s="11" t="s">
        <v>483</v>
      </c>
    </row>
    <row r="377" spans="5:15">
      <c r="E377" s="32">
        <v>374</v>
      </c>
      <c r="F377" s="28"/>
      <c r="G377" s="33"/>
      <c r="H377" s="39"/>
      <c r="I377" s="52"/>
      <c r="J377" s="73"/>
      <c r="L377" s="48">
        <v>372</v>
      </c>
      <c r="M377" s="11" t="s">
        <v>187</v>
      </c>
      <c r="N377" s="11" t="s">
        <v>96</v>
      </c>
      <c r="O377" s="11" t="s">
        <v>484</v>
      </c>
    </row>
    <row r="378" spans="5:15">
      <c r="E378" s="32">
        <v>375</v>
      </c>
      <c r="F378" s="28"/>
      <c r="G378" s="33"/>
      <c r="H378" s="39"/>
      <c r="I378" s="52"/>
      <c r="J378" s="73"/>
      <c r="L378" s="48">
        <v>373</v>
      </c>
      <c r="M378" s="11" t="s">
        <v>121</v>
      </c>
      <c r="N378" s="11" t="s">
        <v>17</v>
      </c>
      <c r="O378" s="11" t="s">
        <v>485</v>
      </c>
    </row>
    <row r="379" spans="5:15">
      <c r="E379" s="32">
        <v>376</v>
      </c>
      <c r="F379" s="28"/>
      <c r="G379" s="33"/>
      <c r="H379" s="39"/>
      <c r="I379" s="52"/>
      <c r="J379" s="73"/>
      <c r="L379" s="48">
        <v>374</v>
      </c>
      <c r="M379" s="11" t="s">
        <v>118</v>
      </c>
      <c r="N379" s="11" t="s">
        <v>111</v>
      </c>
      <c r="O379" s="11" t="s">
        <v>486</v>
      </c>
    </row>
    <row r="380" spans="5:15">
      <c r="E380" s="32">
        <v>377</v>
      </c>
      <c r="F380" s="28"/>
      <c r="G380" s="33"/>
      <c r="H380" s="39"/>
      <c r="I380" s="52"/>
      <c r="J380" s="73"/>
      <c r="L380" s="48">
        <v>375</v>
      </c>
      <c r="M380" s="11" t="s">
        <v>176</v>
      </c>
      <c r="N380" s="11" t="s">
        <v>193</v>
      </c>
      <c r="O380" s="11" t="s">
        <v>487</v>
      </c>
    </row>
    <row r="381" spans="5:15">
      <c r="E381" s="32">
        <v>378</v>
      </c>
      <c r="F381" s="28"/>
      <c r="G381" s="33"/>
      <c r="H381" s="39"/>
      <c r="I381" s="52"/>
      <c r="J381" s="73"/>
      <c r="L381" s="48">
        <v>376</v>
      </c>
      <c r="M381" s="11" t="s">
        <v>53</v>
      </c>
      <c r="N381" s="11" t="s">
        <v>181</v>
      </c>
      <c r="O381" s="11" t="s">
        <v>488</v>
      </c>
    </row>
    <row r="382" spans="5:15">
      <c r="E382" s="32">
        <v>379</v>
      </c>
      <c r="F382" s="28"/>
      <c r="G382" s="33"/>
      <c r="H382" s="39"/>
      <c r="I382" s="52"/>
      <c r="J382" s="73"/>
      <c r="L382" s="48">
        <v>377</v>
      </c>
      <c r="M382" s="11" t="s">
        <v>71</v>
      </c>
      <c r="N382" s="11" t="s">
        <v>193</v>
      </c>
      <c r="O382" s="11" t="s">
        <v>489</v>
      </c>
    </row>
    <row r="383" spans="5:15">
      <c r="E383" s="32">
        <v>380</v>
      </c>
      <c r="F383" s="28"/>
      <c r="G383" s="33"/>
      <c r="H383" s="39"/>
      <c r="I383" s="52"/>
      <c r="J383" s="73"/>
      <c r="L383" s="48">
        <v>378</v>
      </c>
      <c r="M383" s="11" t="s">
        <v>22</v>
      </c>
      <c r="N383" s="11" t="s">
        <v>14</v>
      </c>
      <c r="O383" s="11" t="s">
        <v>490</v>
      </c>
    </row>
    <row r="384" spans="5:15">
      <c r="E384" s="32">
        <v>381</v>
      </c>
      <c r="F384" s="28"/>
      <c r="G384" s="33"/>
      <c r="H384" s="39"/>
      <c r="I384" s="52"/>
      <c r="J384" s="73"/>
      <c r="L384" s="48">
        <v>379</v>
      </c>
      <c r="M384" s="11" t="s">
        <v>210</v>
      </c>
      <c r="N384" s="11" t="s">
        <v>54</v>
      </c>
      <c r="O384" s="11" t="s">
        <v>491</v>
      </c>
    </row>
    <row r="385" spans="5:15">
      <c r="E385" s="32">
        <v>382</v>
      </c>
      <c r="F385" s="28"/>
      <c r="G385" s="33"/>
      <c r="H385" s="39"/>
      <c r="I385" s="52"/>
      <c r="J385" s="73"/>
      <c r="L385" s="48">
        <v>380</v>
      </c>
      <c r="M385" s="11" t="s">
        <v>107</v>
      </c>
      <c r="N385" s="11" t="s">
        <v>28</v>
      </c>
      <c r="O385" s="11" t="s">
        <v>492</v>
      </c>
    </row>
    <row r="386" spans="5:15">
      <c r="E386" s="32">
        <v>383</v>
      </c>
      <c r="F386" s="28"/>
      <c r="G386" s="33"/>
      <c r="H386" s="39"/>
      <c r="I386" s="52"/>
      <c r="J386" s="73"/>
      <c r="L386" s="48">
        <v>381</v>
      </c>
      <c r="M386" s="11" t="s">
        <v>30</v>
      </c>
      <c r="N386" s="11" t="s">
        <v>23</v>
      </c>
      <c r="O386" s="11" t="s">
        <v>493</v>
      </c>
    </row>
    <row r="387" spans="5:15">
      <c r="E387" s="32">
        <v>384</v>
      </c>
      <c r="F387" s="28"/>
      <c r="G387" s="33"/>
      <c r="H387" s="39"/>
      <c r="I387" s="52"/>
      <c r="J387" s="73"/>
      <c r="L387" s="48">
        <v>382</v>
      </c>
      <c r="M387" s="11" t="s">
        <v>16</v>
      </c>
      <c r="N387" s="11" t="s">
        <v>193</v>
      </c>
      <c r="O387" s="11" t="s">
        <v>494</v>
      </c>
    </row>
    <row r="388" spans="5:15">
      <c r="E388" s="32">
        <v>385</v>
      </c>
      <c r="F388" s="28"/>
      <c r="G388" s="33"/>
      <c r="H388" s="39"/>
      <c r="I388" s="52"/>
      <c r="J388" s="73"/>
      <c r="L388" s="48">
        <v>383</v>
      </c>
      <c r="M388" s="11" t="s">
        <v>41</v>
      </c>
      <c r="N388" s="11" t="s">
        <v>59</v>
      </c>
      <c r="O388" s="11" t="s">
        <v>495</v>
      </c>
    </row>
    <row r="389" spans="5:15">
      <c r="E389" s="32">
        <v>386</v>
      </c>
      <c r="F389" s="28"/>
      <c r="G389" s="33"/>
      <c r="H389" s="39"/>
      <c r="I389" s="52"/>
      <c r="J389" s="73"/>
      <c r="L389" s="48">
        <v>384</v>
      </c>
      <c r="M389" s="11" t="s">
        <v>293</v>
      </c>
      <c r="N389" s="11" t="s">
        <v>93</v>
      </c>
      <c r="O389" s="11" t="s">
        <v>496</v>
      </c>
    </row>
    <row r="390" spans="5:15">
      <c r="E390" s="32">
        <v>387</v>
      </c>
      <c r="F390" s="28"/>
      <c r="G390" s="33"/>
      <c r="H390" s="39"/>
      <c r="I390" s="52"/>
      <c r="J390" s="73"/>
      <c r="L390" s="48">
        <v>385</v>
      </c>
      <c r="M390" s="11" t="s">
        <v>35</v>
      </c>
      <c r="N390" s="11" t="s">
        <v>23</v>
      </c>
      <c r="O390" s="11" t="s">
        <v>497</v>
      </c>
    </row>
    <row r="391" spans="5:15">
      <c r="E391" s="32">
        <v>388</v>
      </c>
      <c r="F391" s="28"/>
      <c r="G391" s="33"/>
      <c r="H391" s="39"/>
      <c r="I391" s="52"/>
      <c r="J391" s="73"/>
      <c r="L391" s="48">
        <v>386</v>
      </c>
      <c r="M391" s="11" t="s">
        <v>210</v>
      </c>
      <c r="N391" s="11" t="s">
        <v>108</v>
      </c>
      <c r="O391" s="11" t="s">
        <v>498</v>
      </c>
    </row>
    <row r="392" spans="5:15">
      <c r="E392" s="32">
        <v>389</v>
      </c>
      <c r="F392" s="28"/>
      <c r="G392" s="33"/>
      <c r="H392" s="39"/>
      <c r="I392" s="52"/>
      <c r="J392" s="73"/>
      <c r="L392" s="48">
        <v>387</v>
      </c>
      <c r="M392" s="11" t="s">
        <v>41</v>
      </c>
      <c r="N392" s="11" t="s">
        <v>73</v>
      </c>
      <c r="O392" s="11" t="s">
        <v>499</v>
      </c>
    </row>
    <row r="393" spans="5:15">
      <c r="E393" s="32">
        <v>390</v>
      </c>
      <c r="F393" s="28"/>
      <c r="G393" s="33"/>
      <c r="H393" s="39"/>
      <c r="I393" s="52"/>
      <c r="J393" s="73"/>
      <c r="L393" s="48">
        <v>388</v>
      </c>
      <c r="M393" s="11" t="s">
        <v>30</v>
      </c>
      <c r="N393" s="11" t="s">
        <v>181</v>
      </c>
      <c r="O393" s="11" t="s">
        <v>500</v>
      </c>
    </row>
    <row r="394" spans="5:15">
      <c r="E394" s="32">
        <v>391</v>
      </c>
      <c r="F394" s="28"/>
      <c r="G394" s="33"/>
      <c r="H394" s="39"/>
      <c r="I394" s="52"/>
      <c r="J394" s="73"/>
      <c r="L394" s="48">
        <v>389</v>
      </c>
      <c r="M394" s="11" t="s">
        <v>22</v>
      </c>
      <c r="N394" s="11" t="s">
        <v>42</v>
      </c>
      <c r="O394" s="11" t="s">
        <v>501</v>
      </c>
    </row>
    <row r="395" spans="5:15">
      <c r="E395" s="32">
        <v>392</v>
      </c>
      <c r="F395" s="28"/>
      <c r="G395" s="33"/>
      <c r="H395" s="39"/>
      <c r="I395" s="52"/>
      <c r="J395" s="73"/>
      <c r="L395" s="48">
        <v>390</v>
      </c>
      <c r="M395" s="11" t="s">
        <v>203</v>
      </c>
      <c r="N395" s="11" t="s">
        <v>39</v>
      </c>
      <c r="O395" s="11" t="s">
        <v>502</v>
      </c>
    </row>
    <row r="396" spans="5:15">
      <c r="E396" s="32">
        <v>393</v>
      </c>
      <c r="F396" s="28"/>
      <c r="G396" s="33"/>
      <c r="H396" s="39"/>
      <c r="I396" s="52"/>
      <c r="J396" s="73"/>
      <c r="L396" s="48">
        <v>391</v>
      </c>
      <c r="M396" s="11" t="s">
        <v>130</v>
      </c>
      <c r="N396" s="11" t="s">
        <v>127</v>
      </c>
      <c r="O396" s="11" t="s">
        <v>503</v>
      </c>
    </row>
    <row r="397" spans="5:15">
      <c r="E397" s="32">
        <v>394</v>
      </c>
      <c r="F397" s="28"/>
      <c r="G397" s="33"/>
      <c r="H397" s="39"/>
      <c r="I397" s="52"/>
      <c r="J397" s="73"/>
      <c r="L397" s="48">
        <v>392</v>
      </c>
      <c r="M397" s="11" t="s">
        <v>13</v>
      </c>
      <c r="N397" s="11" t="s">
        <v>204</v>
      </c>
      <c r="O397" s="11" t="s">
        <v>504</v>
      </c>
    </row>
    <row r="398" spans="5:15">
      <c r="E398" s="32">
        <v>395</v>
      </c>
      <c r="F398" s="28"/>
      <c r="G398" s="33"/>
      <c r="H398" s="39"/>
      <c r="I398" s="52"/>
      <c r="J398" s="73"/>
      <c r="L398" s="48">
        <v>393</v>
      </c>
      <c r="M398" s="11" t="s">
        <v>263</v>
      </c>
      <c r="N398" s="11" t="s">
        <v>33</v>
      </c>
      <c r="O398" s="11" t="s">
        <v>505</v>
      </c>
    </row>
    <row r="399" spans="5:15">
      <c r="E399" s="32">
        <v>396</v>
      </c>
      <c r="F399" s="28"/>
      <c r="G399" s="33"/>
      <c r="H399" s="39"/>
      <c r="I399" s="52"/>
      <c r="J399" s="73"/>
      <c r="L399" s="48">
        <v>394</v>
      </c>
      <c r="M399" s="11" t="s">
        <v>47</v>
      </c>
      <c r="N399" s="11" t="s">
        <v>39</v>
      </c>
      <c r="O399" s="11" t="s">
        <v>506</v>
      </c>
    </row>
    <row r="400" spans="5:15">
      <c r="E400" s="32">
        <v>397</v>
      </c>
      <c r="F400" s="28"/>
      <c r="G400" s="33"/>
      <c r="H400" s="39"/>
      <c r="I400" s="52"/>
      <c r="J400" s="73"/>
      <c r="L400" s="48">
        <v>395</v>
      </c>
      <c r="M400" s="11" t="s">
        <v>22</v>
      </c>
      <c r="N400" s="11" t="s">
        <v>173</v>
      </c>
      <c r="O400" s="11" t="s">
        <v>507</v>
      </c>
    </row>
    <row r="401" spans="5:15">
      <c r="E401" s="32">
        <v>398</v>
      </c>
      <c r="F401" s="28"/>
      <c r="G401" s="33"/>
      <c r="H401" s="39"/>
      <c r="I401" s="52"/>
      <c r="J401" s="73"/>
      <c r="L401" s="48">
        <v>396</v>
      </c>
      <c r="M401" s="11" t="s">
        <v>229</v>
      </c>
      <c r="N401" s="11" t="s">
        <v>142</v>
      </c>
      <c r="O401" s="11" t="s">
        <v>508</v>
      </c>
    </row>
    <row r="402" spans="5:15">
      <c r="E402" s="32">
        <v>399</v>
      </c>
      <c r="F402" s="28"/>
      <c r="G402" s="33"/>
      <c r="H402" s="39"/>
      <c r="I402" s="52"/>
      <c r="J402" s="73"/>
      <c r="L402" s="48">
        <v>397</v>
      </c>
      <c r="M402" s="11" t="s">
        <v>77</v>
      </c>
      <c r="N402" s="11" t="s">
        <v>122</v>
      </c>
      <c r="O402" s="11" t="s">
        <v>509</v>
      </c>
    </row>
    <row r="403" spans="5:15">
      <c r="E403" s="32">
        <v>400</v>
      </c>
      <c r="F403" s="28"/>
      <c r="G403" s="33"/>
      <c r="H403" s="39"/>
      <c r="I403" s="52"/>
      <c r="J403" s="73"/>
      <c r="L403" s="48">
        <v>398</v>
      </c>
      <c r="M403" s="11" t="s">
        <v>166</v>
      </c>
      <c r="N403" s="11" t="s">
        <v>429</v>
      </c>
      <c r="O403" s="11" t="s">
        <v>510</v>
      </c>
    </row>
    <row r="404" spans="5:15">
      <c r="E404" s="32">
        <v>401</v>
      </c>
      <c r="F404" s="28"/>
      <c r="G404" s="33"/>
      <c r="H404" s="39"/>
      <c r="I404" s="52"/>
      <c r="J404" s="73"/>
      <c r="L404" s="48">
        <v>399</v>
      </c>
      <c r="M404" s="11" t="s">
        <v>160</v>
      </c>
      <c r="N404" s="11" t="s">
        <v>20</v>
      </c>
      <c r="O404" s="11" t="s">
        <v>511</v>
      </c>
    </row>
    <row r="405" spans="5:15">
      <c r="E405" s="32">
        <v>402</v>
      </c>
      <c r="F405" s="28"/>
      <c r="G405" s="33"/>
      <c r="H405" s="39"/>
      <c r="I405" s="52"/>
      <c r="J405" s="73"/>
      <c r="L405" s="48">
        <v>400</v>
      </c>
      <c r="M405" s="11" t="s">
        <v>82</v>
      </c>
      <c r="N405" s="11" t="s">
        <v>122</v>
      </c>
      <c r="O405" s="11" t="s">
        <v>512</v>
      </c>
    </row>
    <row r="406" spans="5:15">
      <c r="E406" s="32">
        <v>403</v>
      </c>
      <c r="F406" s="28"/>
      <c r="G406" s="33"/>
      <c r="H406" s="39"/>
      <c r="I406" s="52"/>
      <c r="J406" s="73"/>
      <c r="L406" s="48">
        <v>401</v>
      </c>
      <c r="M406" s="11" t="s">
        <v>158</v>
      </c>
      <c r="N406" s="11" t="s">
        <v>193</v>
      </c>
      <c r="O406" s="11" t="s">
        <v>513</v>
      </c>
    </row>
    <row r="407" spans="5:15">
      <c r="E407" s="32">
        <v>404</v>
      </c>
      <c r="F407" s="28"/>
      <c r="G407" s="33"/>
      <c r="H407" s="39"/>
      <c r="I407" s="52"/>
      <c r="J407" s="73"/>
      <c r="L407" s="48">
        <v>402</v>
      </c>
      <c r="M407" s="11" t="s">
        <v>19</v>
      </c>
      <c r="N407" s="11" t="s">
        <v>145</v>
      </c>
      <c r="O407" s="11" t="s">
        <v>514</v>
      </c>
    </row>
    <row r="408" spans="5:15">
      <c r="E408" s="32">
        <v>405</v>
      </c>
      <c r="F408" s="28"/>
      <c r="G408" s="33"/>
      <c r="H408" s="39"/>
      <c r="I408" s="52"/>
      <c r="J408" s="73"/>
      <c r="L408" s="48">
        <v>403</v>
      </c>
      <c r="M408" s="11" t="s">
        <v>77</v>
      </c>
      <c r="N408" s="11" t="s">
        <v>181</v>
      </c>
      <c r="O408" s="11" t="s">
        <v>515</v>
      </c>
    </row>
    <row r="409" spans="5:15">
      <c r="E409" s="32">
        <v>406</v>
      </c>
      <c r="F409" s="28"/>
      <c r="G409" s="33"/>
      <c r="H409" s="39"/>
      <c r="I409" s="52"/>
      <c r="J409" s="73"/>
      <c r="L409" s="48">
        <v>404</v>
      </c>
      <c r="M409" s="11" t="s">
        <v>226</v>
      </c>
      <c r="N409" s="11" t="s">
        <v>33</v>
      </c>
      <c r="O409" s="11" t="s">
        <v>516</v>
      </c>
    </row>
    <row r="410" spans="5:15">
      <c r="E410" s="32">
        <v>407</v>
      </c>
      <c r="F410" s="28"/>
      <c r="G410" s="33"/>
      <c r="H410" s="39"/>
      <c r="I410" s="52"/>
      <c r="J410" s="73"/>
      <c r="L410" s="48">
        <v>405</v>
      </c>
      <c r="M410" s="11" t="s">
        <v>121</v>
      </c>
      <c r="N410" s="11" t="s">
        <v>177</v>
      </c>
      <c r="O410" s="11" t="s">
        <v>517</v>
      </c>
    </row>
    <row r="411" spans="5:15">
      <c r="E411" s="32">
        <v>408</v>
      </c>
      <c r="F411" s="28"/>
      <c r="G411" s="33"/>
      <c r="H411" s="39"/>
      <c r="I411" s="52"/>
      <c r="J411" s="73"/>
      <c r="L411" s="48">
        <v>406</v>
      </c>
      <c r="M411" s="11" t="s">
        <v>176</v>
      </c>
      <c r="N411" s="11" t="s">
        <v>48</v>
      </c>
      <c r="O411" s="11" t="s">
        <v>518</v>
      </c>
    </row>
    <row r="412" spans="5:15">
      <c r="E412" s="32">
        <v>409</v>
      </c>
      <c r="F412" s="28"/>
      <c r="G412" s="33"/>
      <c r="H412" s="39"/>
      <c r="I412" s="52"/>
      <c r="J412" s="73"/>
      <c r="L412" s="48">
        <v>407</v>
      </c>
      <c r="M412" s="11" t="s">
        <v>141</v>
      </c>
      <c r="N412" s="11" t="s">
        <v>73</v>
      </c>
      <c r="O412" s="11" t="s">
        <v>519</v>
      </c>
    </row>
    <row r="413" spans="5:15">
      <c r="E413" s="32">
        <v>410</v>
      </c>
      <c r="F413" s="28"/>
      <c r="G413" s="33"/>
      <c r="H413" s="39"/>
      <c r="I413" s="52"/>
      <c r="J413" s="73"/>
      <c r="L413" s="48">
        <v>408</v>
      </c>
      <c r="M413" s="11" t="s">
        <v>19</v>
      </c>
      <c r="N413" s="11" t="s">
        <v>147</v>
      </c>
      <c r="O413" s="11" t="s">
        <v>520</v>
      </c>
    </row>
    <row r="414" spans="5:15">
      <c r="E414" s="32">
        <v>411</v>
      </c>
      <c r="F414" s="28"/>
      <c r="G414" s="33"/>
      <c r="H414" s="39"/>
      <c r="I414" s="52"/>
      <c r="J414" s="73"/>
      <c r="L414" s="48">
        <v>409</v>
      </c>
      <c r="M414" s="11" t="s">
        <v>160</v>
      </c>
      <c r="N414" s="11" t="s">
        <v>153</v>
      </c>
      <c r="O414" s="11" t="s">
        <v>521</v>
      </c>
    </row>
    <row r="415" spans="5:15">
      <c r="E415" s="32">
        <v>412</v>
      </c>
      <c r="F415" s="28"/>
      <c r="G415" s="33"/>
      <c r="H415" s="39"/>
      <c r="I415" s="52"/>
      <c r="J415" s="73"/>
      <c r="L415" s="48">
        <v>410</v>
      </c>
      <c r="M415" s="11" t="s">
        <v>41</v>
      </c>
      <c r="N415" s="11" t="s">
        <v>54</v>
      </c>
      <c r="O415" s="11" t="s">
        <v>522</v>
      </c>
    </row>
    <row r="416" spans="5:15">
      <c r="E416" s="32">
        <v>413</v>
      </c>
      <c r="F416" s="28"/>
      <c r="G416" s="33"/>
      <c r="H416" s="39"/>
      <c r="I416" s="52"/>
      <c r="J416" s="73"/>
      <c r="L416" s="48">
        <v>411</v>
      </c>
      <c r="M416" s="11" t="s">
        <v>133</v>
      </c>
      <c r="N416" s="11" t="s">
        <v>45</v>
      </c>
      <c r="O416" s="11" t="s">
        <v>523</v>
      </c>
    </row>
    <row r="417" spans="5:15">
      <c r="E417" s="32">
        <v>414</v>
      </c>
      <c r="F417" s="28"/>
      <c r="G417" s="33"/>
      <c r="H417" s="39"/>
      <c r="I417" s="52"/>
      <c r="J417" s="73"/>
      <c r="L417" s="48">
        <v>412</v>
      </c>
      <c r="M417" s="11" t="s">
        <v>118</v>
      </c>
      <c r="N417" s="11" t="s">
        <v>122</v>
      </c>
      <c r="O417" s="11" t="s">
        <v>524</v>
      </c>
    </row>
    <row r="418" spans="5:15">
      <c r="E418" s="32">
        <v>415</v>
      </c>
      <c r="F418" s="28"/>
      <c r="G418" s="33"/>
      <c r="H418" s="39"/>
      <c r="I418" s="52"/>
      <c r="J418" s="73"/>
      <c r="L418" s="48">
        <v>413</v>
      </c>
      <c r="M418" s="11" t="s">
        <v>53</v>
      </c>
      <c r="N418" s="11" t="s">
        <v>145</v>
      </c>
      <c r="O418" s="11" t="s">
        <v>525</v>
      </c>
    </row>
    <row r="419" spans="5:15">
      <c r="E419" s="32">
        <v>416</v>
      </c>
      <c r="F419" s="28"/>
      <c r="G419" s="33"/>
      <c r="H419" s="39"/>
      <c r="I419" s="52"/>
      <c r="J419" s="73"/>
      <c r="L419" s="48">
        <v>414</v>
      </c>
      <c r="M419" s="11" t="s">
        <v>69</v>
      </c>
      <c r="N419" s="11" t="s">
        <v>147</v>
      </c>
      <c r="O419" s="11" t="s">
        <v>526</v>
      </c>
    </row>
    <row r="420" spans="5:15">
      <c r="E420" s="32">
        <v>417</v>
      </c>
      <c r="F420" s="28"/>
      <c r="G420" s="33"/>
      <c r="H420" s="39"/>
      <c r="I420" s="52"/>
      <c r="J420" s="73"/>
      <c r="L420" s="48">
        <v>415</v>
      </c>
      <c r="M420" s="11" t="s">
        <v>19</v>
      </c>
      <c r="N420" s="11" t="s">
        <v>346</v>
      </c>
      <c r="O420" s="11" t="s">
        <v>527</v>
      </c>
    </row>
    <row r="421" spans="5:15">
      <c r="E421" s="32">
        <v>418</v>
      </c>
      <c r="F421" s="28"/>
      <c r="G421" s="33"/>
      <c r="H421" s="39"/>
      <c r="I421" s="52"/>
      <c r="J421" s="73"/>
      <c r="L421" s="48">
        <v>416</v>
      </c>
      <c r="M421" s="11" t="s">
        <v>203</v>
      </c>
      <c r="N421" s="11" t="s">
        <v>28</v>
      </c>
      <c r="O421" s="11" t="s">
        <v>528</v>
      </c>
    </row>
    <row r="422" spans="5:15">
      <c r="E422" s="32">
        <v>419</v>
      </c>
      <c r="F422" s="28"/>
      <c r="G422" s="33"/>
      <c r="H422" s="39"/>
      <c r="I422" s="52"/>
      <c r="J422" s="73"/>
      <c r="L422" s="48">
        <v>417</v>
      </c>
      <c r="M422" s="11" t="s">
        <v>87</v>
      </c>
      <c r="N422" s="11" t="s">
        <v>173</v>
      </c>
      <c r="O422" s="11" t="s">
        <v>529</v>
      </c>
    </row>
    <row r="423" spans="5:15">
      <c r="E423" s="32">
        <v>420</v>
      </c>
      <c r="F423" s="28"/>
      <c r="G423" s="33"/>
      <c r="H423" s="39"/>
      <c r="I423" s="52"/>
      <c r="J423" s="73"/>
      <c r="L423" s="48">
        <v>418</v>
      </c>
      <c r="M423" s="11" t="s">
        <v>141</v>
      </c>
      <c r="N423" s="11" t="s">
        <v>204</v>
      </c>
      <c r="O423" s="11" t="s">
        <v>530</v>
      </c>
    </row>
    <row r="424" spans="5:15">
      <c r="E424" s="32">
        <v>421</v>
      </c>
      <c r="F424" s="28"/>
      <c r="G424" s="33"/>
      <c r="H424" s="39"/>
      <c r="I424" s="52"/>
      <c r="J424" s="73"/>
      <c r="L424" s="48">
        <v>419</v>
      </c>
      <c r="M424" s="11" t="s">
        <v>19</v>
      </c>
      <c r="N424" s="11" t="s">
        <v>26</v>
      </c>
      <c r="O424" s="11" t="s">
        <v>531</v>
      </c>
    </row>
    <row r="425" spans="5:15">
      <c r="E425" s="32">
        <v>422</v>
      </c>
      <c r="F425" s="28"/>
      <c r="G425" s="33"/>
      <c r="H425" s="39"/>
      <c r="I425" s="52"/>
      <c r="J425" s="73"/>
      <c r="L425" s="48">
        <v>420</v>
      </c>
      <c r="M425" s="11" t="s">
        <v>231</v>
      </c>
      <c r="N425" s="11" t="s">
        <v>181</v>
      </c>
      <c r="O425" s="11" t="s">
        <v>532</v>
      </c>
    </row>
    <row r="426" spans="5:15">
      <c r="E426" s="32">
        <v>423</v>
      </c>
      <c r="F426" s="28"/>
      <c r="G426" s="33"/>
      <c r="H426" s="39"/>
      <c r="I426" s="52"/>
      <c r="J426" s="73"/>
      <c r="L426" s="48">
        <v>421</v>
      </c>
      <c r="M426" s="11" t="s">
        <v>90</v>
      </c>
      <c r="N426" s="11" t="s">
        <v>73</v>
      </c>
      <c r="O426" s="11" t="s">
        <v>533</v>
      </c>
    </row>
    <row r="427" spans="5:15">
      <c r="E427" s="32">
        <v>424</v>
      </c>
      <c r="F427" s="28"/>
      <c r="G427" s="33"/>
      <c r="H427" s="39"/>
      <c r="I427" s="52"/>
      <c r="J427" s="73"/>
      <c r="L427" s="48">
        <v>422</v>
      </c>
      <c r="M427" s="11" t="s">
        <v>141</v>
      </c>
      <c r="N427" s="11" t="s">
        <v>48</v>
      </c>
      <c r="O427" s="11" t="s">
        <v>534</v>
      </c>
    </row>
    <row r="428" spans="5:15">
      <c r="E428" s="32">
        <v>425</v>
      </c>
      <c r="F428" s="28"/>
      <c r="G428" s="33"/>
      <c r="H428" s="39"/>
      <c r="I428" s="52"/>
      <c r="J428" s="73"/>
      <c r="L428" s="48">
        <v>423</v>
      </c>
      <c r="M428" s="11" t="s">
        <v>50</v>
      </c>
      <c r="N428" s="11" t="s">
        <v>80</v>
      </c>
      <c r="O428" s="11" t="s">
        <v>535</v>
      </c>
    </row>
    <row r="429" spans="5:15">
      <c r="E429" s="32">
        <v>426</v>
      </c>
      <c r="F429" s="28"/>
      <c r="G429" s="33"/>
      <c r="H429" s="39"/>
      <c r="I429" s="52"/>
      <c r="J429" s="73"/>
      <c r="L429" s="48">
        <v>424</v>
      </c>
      <c r="M429" s="11" t="s">
        <v>44</v>
      </c>
      <c r="N429" s="11" t="s">
        <v>173</v>
      </c>
      <c r="O429" s="11" t="s">
        <v>536</v>
      </c>
    </row>
    <row r="430" spans="5:15">
      <c r="E430" s="32">
        <v>427</v>
      </c>
      <c r="F430" s="28"/>
      <c r="G430" s="33"/>
      <c r="H430" s="39"/>
      <c r="I430" s="52"/>
      <c r="J430" s="73"/>
      <c r="L430" s="48">
        <v>425</v>
      </c>
      <c r="M430" s="11" t="s">
        <v>263</v>
      </c>
      <c r="N430" s="11" t="s">
        <v>212</v>
      </c>
      <c r="O430" s="11" t="s">
        <v>537</v>
      </c>
    </row>
    <row r="431" spans="5:15">
      <c r="E431" s="32">
        <v>428</v>
      </c>
      <c r="F431" s="28"/>
      <c r="G431" s="33"/>
      <c r="H431" s="39"/>
      <c r="I431" s="52"/>
      <c r="J431" s="73"/>
      <c r="L431" s="48">
        <v>426</v>
      </c>
      <c r="M431" s="11" t="s">
        <v>124</v>
      </c>
      <c r="N431" s="11" t="s">
        <v>212</v>
      </c>
      <c r="O431" s="11" t="s">
        <v>538</v>
      </c>
    </row>
    <row r="432" spans="5:15">
      <c r="E432" s="32">
        <v>429</v>
      </c>
      <c r="F432" s="28"/>
      <c r="G432" s="33"/>
      <c r="H432" s="39"/>
      <c r="I432" s="52"/>
      <c r="J432" s="73"/>
      <c r="L432" s="48">
        <v>427</v>
      </c>
      <c r="M432" s="11" t="s">
        <v>158</v>
      </c>
      <c r="N432" s="11" t="s">
        <v>42</v>
      </c>
      <c r="O432" s="11" t="s">
        <v>539</v>
      </c>
    </row>
    <row r="433" spans="5:15">
      <c r="E433" s="32">
        <v>430</v>
      </c>
      <c r="F433" s="28"/>
      <c r="G433" s="33"/>
      <c r="H433" s="39"/>
      <c r="I433" s="52"/>
      <c r="J433" s="73"/>
      <c r="L433" s="48">
        <v>428</v>
      </c>
      <c r="M433" s="11" t="s">
        <v>160</v>
      </c>
      <c r="N433" s="11" t="s">
        <v>93</v>
      </c>
      <c r="O433" s="11" t="s">
        <v>540</v>
      </c>
    </row>
    <row r="434" spans="5:15">
      <c r="E434" s="32">
        <v>431</v>
      </c>
      <c r="F434" s="28"/>
      <c r="G434" s="33"/>
      <c r="H434" s="39"/>
      <c r="I434" s="52"/>
      <c r="J434" s="73"/>
      <c r="L434" s="48">
        <v>429</v>
      </c>
      <c r="M434" s="11" t="s">
        <v>231</v>
      </c>
      <c r="N434" s="11" t="s">
        <v>138</v>
      </c>
      <c r="O434" s="11" t="s">
        <v>541</v>
      </c>
    </row>
    <row r="435" spans="5:15">
      <c r="E435" s="32">
        <v>432</v>
      </c>
      <c r="F435" s="28"/>
      <c r="G435" s="33"/>
      <c r="H435" s="39"/>
      <c r="I435" s="52"/>
      <c r="J435" s="73"/>
      <c r="L435" s="48">
        <v>430</v>
      </c>
      <c r="M435" s="11" t="s">
        <v>13</v>
      </c>
      <c r="N435" s="11" t="s">
        <v>61</v>
      </c>
      <c r="O435" s="11" t="s">
        <v>542</v>
      </c>
    </row>
    <row r="436" spans="5:15">
      <c r="E436" s="32">
        <v>433</v>
      </c>
      <c r="F436" s="28"/>
      <c r="G436" s="33"/>
      <c r="H436" s="39"/>
      <c r="I436" s="52"/>
      <c r="J436" s="73"/>
      <c r="L436" s="48">
        <v>431</v>
      </c>
      <c r="M436" s="11" t="s">
        <v>35</v>
      </c>
      <c r="N436" s="11" t="s">
        <v>181</v>
      </c>
      <c r="O436" s="11" t="s">
        <v>543</v>
      </c>
    </row>
    <row r="437" spans="5:15">
      <c r="E437" s="32">
        <v>434</v>
      </c>
      <c r="F437" s="28"/>
      <c r="G437" s="33"/>
      <c r="H437" s="39"/>
      <c r="I437" s="52"/>
      <c r="J437" s="73"/>
      <c r="L437" s="48">
        <v>432</v>
      </c>
      <c r="M437" s="11" t="s">
        <v>226</v>
      </c>
      <c r="N437" s="11" t="s">
        <v>346</v>
      </c>
      <c r="O437" s="11" t="s">
        <v>544</v>
      </c>
    </row>
    <row r="438" spans="5:15">
      <c r="E438" s="32">
        <v>435</v>
      </c>
      <c r="F438" s="28"/>
      <c r="G438" s="33"/>
      <c r="H438" s="39"/>
      <c r="I438" s="52"/>
      <c r="J438" s="73"/>
      <c r="L438" s="48">
        <v>433</v>
      </c>
      <c r="M438" s="11" t="s">
        <v>22</v>
      </c>
      <c r="N438" s="11" t="s">
        <v>122</v>
      </c>
      <c r="O438" s="11" t="s">
        <v>545</v>
      </c>
    </row>
    <row r="439" spans="5:15">
      <c r="E439" s="32">
        <v>436</v>
      </c>
      <c r="F439" s="28"/>
      <c r="G439" s="33"/>
      <c r="H439" s="39"/>
      <c r="I439" s="52"/>
      <c r="J439" s="73"/>
      <c r="L439" s="48">
        <v>434</v>
      </c>
      <c r="M439" s="11" t="s">
        <v>95</v>
      </c>
      <c r="N439" s="11" t="s">
        <v>36</v>
      </c>
      <c r="O439" s="11" t="s">
        <v>546</v>
      </c>
    </row>
    <row r="440" spans="5:15">
      <c r="E440" s="32">
        <v>437</v>
      </c>
      <c r="F440" s="28"/>
      <c r="G440" s="33"/>
      <c r="H440" s="39"/>
      <c r="I440" s="52"/>
      <c r="J440" s="73"/>
      <c r="L440" s="48">
        <v>435</v>
      </c>
      <c r="M440" s="11" t="s">
        <v>169</v>
      </c>
      <c r="N440" s="11" t="s">
        <v>401</v>
      </c>
      <c r="O440" s="11" t="s">
        <v>547</v>
      </c>
    </row>
    <row r="441" spans="5:15">
      <c r="E441" s="32">
        <v>438</v>
      </c>
      <c r="F441" s="28"/>
      <c r="G441" s="33"/>
      <c r="H441" s="39"/>
      <c r="I441" s="52"/>
      <c r="J441" s="73"/>
      <c r="L441" s="48">
        <v>436</v>
      </c>
      <c r="M441" s="11" t="s">
        <v>22</v>
      </c>
      <c r="N441" s="11" t="s">
        <v>48</v>
      </c>
      <c r="O441" s="11" t="s">
        <v>548</v>
      </c>
    </row>
    <row r="442" spans="5:15">
      <c r="E442" s="32">
        <v>439</v>
      </c>
      <c r="F442" s="28"/>
      <c r="G442" s="33"/>
      <c r="H442" s="39"/>
      <c r="I442" s="52"/>
      <c r="J442" s="73"/>
      <c r="L442" s="48">
        <v>437</v>
      </c>
      <c r="M442" s="11" t="s">
        <v>220</v>
      </c>
      <c r="N442" s="11" t="s">
        <v>51</v>
      </c>
      <c r="O442" s="11" t="s">
        <v>549</v>
      </c>
    </row>
    <row r="443" spans="5:15">
      <c r="E443" s="32">
        <v>440</v>
      </c>
      <c r="F443" s="28"/>
      <c r="G443" s="33"/>
      <c r="H443" s="39"/>
      <c r="I443" s="52"/>
      <c r="J443" s="73"/>
      <c r="L443" s="48">
        <v>438</v>
      </c>
      <c r="M443" s="11" t="s">
        <v>203</v>
      </c>
      <c r="N443" s="11" t="s">
        <v>45</v>
      </c>
      <c r="O443" s="11" t="s">
        <v>550</v>
      </c>
    </row>
    <row r="444" spans="5:15">
      <c r="E444" s="32">
        <v>441</v>
      </c>
      <c r="F444" s="28"/>
      <c r="G444" s="33"/>
      <c r="H444" s="39"/>
      <c r="I444" s="52"/>
      <c r="J444" s="73"/>
      <c r="L444" s="48">
        <v>439</v>
      </c>
      <c r="M444" s="11" t="s">
        <v>38</v>
      </c>
      <c r="N444" s="11" t="s">
        <v>17</v>
      </c>
      <c r="O444" s="11" t="s">
        <v>551</v>
      </c>
    </row>
    <row r="445" spans="5:15">
      <c r="E445" s="32">
        <v>442</v>
      </c>
      <c r="F445" s="28"/>
      <c r="G445" s="33"/>
      <c r="H445" s="39"/>
      <c r="I445" s="52"/>
      <c r="J445" s="73"/>
      <c r="L445" s="48">
        <v>440</v>
      </c>
      <c r="M445" s="11" t="s">
        <v>169</v>
      </c>
      <c r="N445" s="11" t="s">
        <v>39</v>
      </c>
      <c r="O445" s="11" t="s">
        <v>552</v>
      </c>
    </row>
    <row r="446" spans="5:15">
      <c r="E446" s="32">
        <v>443</v>
      </c>
      <c r="F446" s="28"/>
      <c r="G446" s="33"/>
      <c r="H446" s="39"/>
      <c r="I446" s="52"/>
      <c r="J446" s="73"/>
      <c r="L446" s="48">
        <v>441</v>
      </c>
      <c r="M446" s="11" t="s">
        <v>13</v>
      </c>
      <c r="N446" s="11" t="s">
        <v>75</v>
      </c>
      <c r="O446" s="11" t="s">
        <v>553</v>
      </c>
    </row>
    <row r="447" spans="5:15">
      <c r="E447" s="32">
        <v>444</v>
      </c>
      <c r="F447" s="28"/>
      <c r="G447" s="33"/>
      <c r="H447" s="39"/>
      <c r="I447" s="52"/>
      <c r="J447" s="73"/>
      <c r="L447" s="48">
        <v>442</v>
      </c>
      <c r="M447" s="11" t="s">
        <v>53</v>
      </c>
      <c r="N447" s="11" t="s">
        <v>61</v>
      </c>
      <c r="O447" s="11" t="s">
        <v>554</v>
      </c>
    </row>
    <row r="448" spans="5:15">
      <c r="E448" s="32">
        <v>445</v>
      </c>
      <c r="F448" s="28"/>
      <c r="G448" s="33"/>
      <c r="H448" s="39"/>
      <c r="I448" s="52"/>
      <c r="J448" s="73"/>
      <c r="L448" s="48">
        <v>443</v>
      </c>
      <c r="M448" s="11" t="s">
        <v>25</v>
      </c>
      <c r="N448" s="11" t="s">
        <v>177</v>
      </c>
      <c r="O448" s="11" t="s">
        <v>555</v>
      </c>
    </row>
    <row r="449" spans="5:15">
      <c r="E449" s="32">
        <v>446</v>
      </c>
      <c r="F449" s="28"/>
      <c r="G449" s="33"/>
      <c r="H449" s="39"/>
      <c r="I449" s="52"/>
      <c r="J449" s="73"/>
      <c r="L449" s="48">
        <v>444</v>
      </c>
      <c r="M449" s="11" t="s">
        <v>95</v>
      </c>
      <c r="N449" s="11" t="s">
        <v>85</v>
      </c>
      <c r="O449" s="11" t="s">
        <v>556</v>
      </c>
    </row>
    <row r="450" spans="5:15">
      <c r="E450" s="32">
        <v>447</v>
      </c>
      <c r="F450" s="28"/>
      <c r="G450" s="33"/>
      <c r="H450" s="39"/>
      <c r="I450" s="52"/>
      <c r="J450" s="73"/>
      <c r="L450" s="48">
        <v>445</v>
      </c>
      <c r="M450" s="11" t="s">
        <v>22</v>
      </c>
      <c r="N450" s="11" t="s">
        <v>204</v>
      </c>
      <c r="O450" s="11" t="s">
        <v>557</v>
      </c>
    </row>
    <row r="451" spans="5:15">
      <c r="E451" s="32">
        <v>448</v>
      </c>
      <c r="F451" s="28"/>
      <c r="G451" s="33"/>
      <c r="H451" s="39"/>
      <c r="I451" s="52"/>
      <c r="J451" s="73"/>
      <c r="L451" s="48">
        <v>446</v>
      </c>
      <c r="M451" s="11" t="s">
        <v>32</v>
      </c>
      <c r="N451" s="11" t="s">
        <v>122</v>
      </c>
      <c r="O451" s="11" t="s">
        <v>558</v>
      </c>
    </row>
    <row r="452" spans="5:15">
      <c r="E452" s="32">
        <v>449</v>
      </c>
      <c r="F452" s="28"/>
      <c r="G452" s="33"/>
      <c r="H452" s="39"/>
      <c r="I452" s="52"/>
      <c r="J452" s="73"/>
      <c r="L452" s="48">
        <v>447</v>
      </c>
      <c r="M452" s="11" t="s">
        <v>210</v>
      </c>
      <c r="N452" s="11" t="s">
        <v>179</v>
      </c>
      <c r="O452" s="11" t="s">
        <v>559</v>
      </c>
    </row>
    <row r="453" spans="5:15">
      <c r="E453" s="32">
        <v>450</v>
      </c>
      <c r="F453" s="28"/>
      <c r="G453" s="33"/>
      <c r="H453" s="39"/>
      <c r="I453" s="52"/>
      <c r="J453" s="73"/>
      <c r="L453" s="48">
        <v>448</v>
      </c>
      <c r="M453" s="11" t="s">
        <v>67</v>
      </c>
      <c r="N453" s="11" t="s">
        <v>193</v>
      </c>
      <c r="O453" s="11" t="s">
        <v>560</v>
      </c>
    </row>
    <row r="454" spans="5:15">
      <c r="E454" s="32">
        <v>451</v>
      </c>
      <c r="F454" s="28"/>
      <c r="G454" s="33"/>
      <c r="H454" s="39"/>
      <c r="I454" s="52"/>
      <c r="J454" s="73"/>
      <c r="L454" s="48">
        <v>449</v>
      </c>
      <c r="M454" s="11" t="s">
        <v>32</v>
      </c>
      <c r="N454" s="11" t="s">
        <v>145</v>
      </c>
      <c r="O454" s="11" t="s">
        <v>561</v>
      </c>
    </row>
    <row r="455" spans="5:15">
      <c r="E455" s="32">
        <v>452</v>
      </c>
      <c r="F455" s="28"/>
      <c r="G455" s="33"/>
      <c r="H455" s="39"/>
      <c r="I455" s="52"/>
      <c r="J455" s="73"/>
      <c r="L455" s="48">
        <v>450</v>
      </c>
      <c r="M455" s="11" t="s">
        <v>316</v>
      </c>
      <c r="N455" s="11" t="s">
        <v>45</v>
      </c>
      <c r="O455" s="11" t="s">
        <v>562</v>
      </c>
    </row>
    <row r="456" spans="5:15">
      <c r="E456" s="32">
        <v>453</v>
      </c>
      <c r="F456" s="28"/>
      <c r="G456" s="33"/>
      <c r="H456" s="39"/>
      <c r="I456" s="52"/>
      <c r="J456" s="73"/>
      <c r="L456" s="48">
        <v>451</v>
      </c>
      <c r="M456" s="11" t="s">
        <v>77</v>
      </c>
      <c r="N456" s="11" t="s">
        <v>204</v>
      </c>
      <c r="O456" s="11" t="s">
        <v>563</v>
      </c>
    </row>
    <row r="457" spans="5:15">
      <c r="E457" s="32">
        <v>454</v>
      </c>
      <c r="F457" s="28"/>
      <c r="G457" s="33"/>
      <c r="H457" s="39"/>
      <c r="I457" s="52"/>
      <c r="J457" s="73"/>
      <c r="L457" s="48">
        <v>452</v>
      </c>
      <c r="M457" s="11" t="s">
        <v>226</v>
      </c>
      <c r="N457" s="11" t="s">
        <v>36</v>
      </c>
      <c r="O457" s="11" t="s">
        <v>564</v>
      </c>
    </row>
    <row r="458" spans="5:15">
      <c r="E458" s="32">
        <v>455</v>
      </c>
      <c r="F458" s="28"/>
      <c r="G458" s="33"/>
      <c r="H458" s="39"/>
      <c r="I458" s="52"/>
      <c r="J458" s="73"/>
      <c r="L458" s="48">
        <v>453</v>
      </c>
      <c r="M458" s="11" t="s">
        <v>53</v>
      </c>
      <c r="N458" s="11" t="s">
        <v>57</v>
      </c>
      <c r="O458" s="11" t="s">
        <v>565</v>
      </c>
    </row>
    <row r="459" spans="5:15">
      <c r="E459" s="32">
        <v>456</v>
      </c>
      <c r="F459" s="28"/>
      <c r="G459" s="33"/>
      <c r="H459" s="39"/>
      <c r="I459" s="52"/>
      <c r="J459" s="73"/>
      <c r="L459" s="48">
        <v>454</v>
      </c>
      <c r="M459" s="11" t="s">
        <v>71</v>
      </c>
      <c r="N459" s="11" t="s">
        <v>122</v>
      </c>
      <c r="O459" s="11" t="s">
        <v>566</v>
      </c>
    </row>
    <row r="460" spans="5:15">
      <c r="E460" s="32">
        <v>457</v>
      </c>
      <c r="F460" s="28"/>
      <c r="G460" s="33"/>
      <c r="H460" s="39"/>
      <c r="I460" s="52"/>
      <c r="J460" s="73"/>
      <c r="L460" s="48">
        <v>455</v>
      </c>
      <c r="M460" s="11" t="s">
        <v>87</v>
      </c>
      <c r="N460" s="11" t="s">
        <v>135</v>
      </c>
      <c r="O460" s="11" t="s">
        <v>567</v>
      </c>
    </row>
    <row r="461" spans="5:15">
      <c r="E461" s="32">
        <v>458</v>
      </c>
      <c r="F461" s="28"/>
      <c r="G461" s="33"/>
      <c r="H461" s="39"/>
      <c r="I461" s="52"/>
      <c r="J461" s="73"/>
      <c r="L461" s="48">
        <v>456</v>
      </c>
      <c r="M461" s="11" t="s">
        <v>121</v>
      </c>
      <c r="N461" s="11" t="s">
        <v>135</v>
      </c>
      <c r="O461" s="11" t="s">
        <v>568</v>
      </c>
    </row>
    <row r="462" spans="5:15">
      <c r="E462" s="32">
        <v>459</v>
      </c>
      <c r="F462" s="28"/>
      <c r="G462" s="33"/>
      <c r="H462" s="39"/>
      <c r="I462" s="52"/>
      <c r="J462" s="73"/>
      <c r="L462" s="48">
        <v>457</v>
      </c>
      <c r="M462" s="11" t="s">
        <v>187</v>
      </c>
      <c r="N462" s="11" t="s">
        <v>28</v>
      </c>
      <c r="O462" s="11" t="s">
        <v>569</v>
      </c>
    </row>
    <row r="463" spans="5:15">
      <c r="E463" s="32">
        <v>460</v>
      </c>
      <c r="F463" s="28"/>
      <c r="G463" s="33"/>
      <c r="H463" s="39"/>
      <c r="I463" s="52"/>
      <c r="J463" s="73"/>
      <c r="L463" s="48">
        <v>458</v>
      </c>
      <c r="M463" s="11" t="s">
        <v>210</v>
      </c>
      <c r="N463" s="11" t="s">
        <v>145</v>
      </c>
      <c r="O463" s="11" t="s">
        <v>570</v>
      </c>
    </row>
    <row r="464" spans="5:15">
      <c r="E464" s="32">
        <v>461</v>
      </c>
      <c r="F464" s="28"/>
      <c r="G464" s="33"/>
      <c r="H464" s="39"/>
      <c r="I464" s="52"/>
      <c r="J464" s="73"/>
      <c r="L464" s="48">
        <v>459</v>
      </c>
      <c r="M464" s="11" t="s">
        <v>19</v>
      </c>
      <c r="N464" s="11" t="s">
        <v>88</v>
      </c>
      <c r="O464" s="11" t="s">
        <v>571</v>
      </c>
    </row>
    <row r="465" spans="5:15">
      <c r="E465" s="32">
        <v>462</v>
      </c>
      <c r="F465" s="28"/>
      <c r="G465" s="33"/>
      <c r="H465" s="39"/>
      <c r="I465" s="52"/>
      <c r="J465" s="73"/>
      <c r="L465" s="48">
        <v>460</v>
      </c>
      <c r="M465" s="11" t="s">
        <v>220</v>
      </c>
      <c r="N465" s="11" t="s">
        <v>193</v>
      </c>
      <c r="O465" s="11" t="s">
        <v>572</v>
      </c>
    </row>
    <row r="466" spans="5:15">
      <c r="E466" s="32">
        <v>463</v>
      </c>
      <c r="F466" s="28"/>
      <c r="G466" s="33"/>
      <c r="H466" s="39"/>
      <c r="I466" s="52"/>
      <c r="J466" s="73"/>
      <c r="L466" s="48">
        <v>461</v>
      </c>
      <c r="M466" s="11" t="s">
        <v>53</v>
      </c>
      <c r="N466" s="11" t="s">
        <v>42</v>
      </c>
      <c r="O466" s="11" t="s">
        <v>573</v>
      </c>
    </row>
    <row r="467" spans="5:15">
      <c r="E467" s="32">
        <v>464</v>
      </c>
      <c r="F467" s="28"/>
      <c r="G467" s="33"/>
      <c r="H467" s="39"/>
      <c r="I467" s="52"/>
      <c r="J467" s="73"/>
      <c r="L467" s="48">
        <v>462</v>
      </c>
      <c r="M467" s="11" t="s">
        <v>90</v>
      </c>
      <c r="N467" s="11" t="s">
        <v>93</v>
      </c>
      <c r="O467" s="11" t="s">
        <v>574</v>
      </c>
    </row>
    <row r="468" spans="5:15">
      <c r="E468" s="32">
        <v>465</v>
      </c>
      <c r="F468" s="28"/>
      <c r="G468" s="33"/>
      <c r="H468" s="39"/>
      <c r="I468" s="52"/>
      <c r="J468" s="73"/>
      <c r="L468" s="48">
        <v>463</v>
      </c>
      <c r="M468" s="11" t="s">
        <v>67</v>
      </c>
      <c r="N468" s="11" t="s">
        <v>429</v>
      </c>
      <c r="O468" s="11" t="s">
        <v>575</v>
      </c>
    </row>
    <row r="469" spans="5:15">
      <c r="E469" s="32">
        <v>466</v>
      </c>
      <c r="F469" s="28"/>
      <c r="G469" s="33"/>
      <c r="H469" s="39"/>
      <c r="I469" s="52"/>
      <c r="J469" s="73"/>
      <c r="L469" s="48">
        <v>464</v>
      </c>
      <c r="M469" s="11" t="s">
        <v>293</v>
      </c>
      <c r="N469" s="11" t="s">
        <v>204</v>
      </c>
      <c r="O469" s="11" t="s">
        <v>576</v>
      </c>
    </row>
    <row r="470" spans="5:15">
      <c r="E470" s="32">
        <v>467</v>
      </c>
      <c r="F470" s="28"/>
      <c r="G470" s="33"/>
      <c r="H470" s="39"/>
      <c r="I470" s="52"/>
      <c r="J470" s="73"/>
      <c r="L470" s="48">
        <v>465</v>
      </c>
      <c r="M470" s="11" t="s">
        <v>67</v>
      </c>
      <c r="N470" s="11" t="s">
        <v>429</v>
      </c>
      <c r="O470" s="11" t="s">
        <v>577</v>
      </c>
    </row>
    <row r="471" spans="5:15">
      <c r="E471" s="32">
        <v>468</v>
      </c>
      <c r="F471" s="28"/>
      <c r="G471" s="33"/>
      <c r="H471" s="39"/>
      <c r="I471" s="52"/>
      <c r="J471" s="73"/>
      <c r="L471" s="48">
        <v>466</v>
      </c>
      <c r="M471" s="11" t="s">
        <v>118</v>
      </c>
      <c r="N471" s="11" t="s">
        <v>14</v>
      </c>
      <c r="O471" s="11" t="s">
        <v>578</v>
      </c>
    </row>
    <row r="472" spans="5:15">
      <c r="E472" s="32">
        <v>469</v>
      </c>
      <c r="F472" s="28"/>
      <c r="G472" s="33"/>
      <c r="H472" s="39"/>
      <c r="I472" s="52"/>
      <c r="J472" s="73"/>
      <c r="L472" s="48">
        <v>467</v>
      </c>
      <c r="M472" s="11" t="s">
        <v>53</v>
      </c>
      <c r="N472" s="11" t="s">
        <v>17</v>
      </c>
      <c r="O472" s="11" t="s">
        <v>579</v>
      </c>
    </row>
    <row r="473" spans="5:15">
      <c r="E473" s="32">
        <v>470</v>
      </c>
      <c r="F473" s="28"/>
      <c r="G473" s="33"/>
      <c r="H473" s="39"/>
      <c r="I473" s="52"/>
      <c r="J473" s="73"/>
      <c r="L473" s="48">
        <v>468</v>
      </c>
      <c r="M473" s="11" t="s">
        <v>22</v>
      </c>
      <c r="N473" s="11" t="s">
        <v>48</v>
      </c>
      <c r="O473" s="11" t="s">
        <v>580</v>
      </c>
    </row>
    <row r="474" spans="5:15">
      <c r="E474" s="32">
        <v>471</v>
      </c>
      <c r="F474" s="28"/>
      <c r="G474" s="33"/>
      <c r="H474" s="39"/>
      <c r="I474" s="52"/>
      <c r="J474" s="73"/>
      <c r="L474" s="48">
        <v>469</v>
      </c>
      <c r="M474" s="11" t="s">
        <v>158</v>
      </c>
      <c r="N474" s="11" t="s">
        <v>33</v>
      </c>
      <c r="O474" s="11" t="s">
        <v>581</v>
      </c>
    </row>
    <row r="475" spans="5:15">
      <c r="E475" s="32">
        <v>472</v>
      </c>
      <c r="F475" s="28"/>
      <c r="G475" s="33"/>
      <c r="H475" s="39"/>
      <c r="I475" s="52"/>
      <c r="J475" s="73"/>
      <c r="L475" s="48">
        <v>470</v>
      </c>
      <c r="M475" s="11" t="s">
        <v>197</v>
      </c>
      <c r="N475" s="11" t="s">
        <v>93</v>
      </c>
      <c r="O475" s="11" t="s">
        <v>582</v>
      </c>
    </row>
    <row r="476" spans="5:15">
      <c r="E476" s="32">
        <v>473</v>
      </c>
      <c r="F476" s="28"/>
      <c r="G476" s="33"/>
      <c r="H476" s="39"/>
      <c r="I476" s="52"/>
      <c r="J476" s="73"/>
      <c r="L476" s="48">
        <v>471</v>
      </c>
      <c r="M476" s="11" t="s">
        <v>77</v>
      </c>
      <c r="N476" s="11" t="s">
        <v>346</v>
      </c>
      <c r="O476" s="11" t="s">
        <v>583</v>
      </c>
    </row>
    <row r="477" spans="5:15">
      <c r="E477" s="32">
        <v>474</v>
      </c>
      <c r="F477" s="28"/>
      <c r="G477" s="33"/>
      <c r="H477" s="39"/>
      <c r="I477" s="52"/>
      <c r="J477" s="73"/>
      <c r="L477" s="48">
        <v>472</v>
      </c>
      <c r="M477" s="11" t="s">
        <v>169</v>
      </c>
      <c r="N477" s="11" t="s">
        <v>83</v>
      </c>
      <c r="O477" s="11" t="s">
        <v>584</v>
      </c>
    </row>
    <row r="478" spans="5:15">
      <c r="E478" s="32">
        <v>475</v>
      </c>
      <c r="F478" s="28"/>
      <c r="G478" s="33"/>
      <c r="H478" s="39"/>
      <c r="I478" s="52"/>
      <c r="J478" s="73"/>
      <c r="L478" s="48">
        <v>473</v>
      </c>
      <c r="M478" s="11" t="s">
        <v>299</v>
      </c>
      <c r="N478" s="11" t="s">
        <v>45</v>
      </c>
      <c r="O478" s="11" t="s">
        <v>585</v>
      </c>
    </row>
    <row r="479" spans="5:15">
      <c r="E479" s="32">
        <v>476</v>
      </c>
      <c r="F479" s="28"/>
      <c r="G479" s="33"/>
      <c r="H479" s="39"/>
      <c r="I479" s="52"/>
      <c r="J479" s="73"/>
      <c r="L479" s="48">
        <v>474</v>
      </c>
      <c r="M479" s="11" t="s">
        <v>293</v>
      </c>
      <c r="N479" s="11" t="s">
        <v>59</v>
      </c>
      <c r="O479" s="11" t="s">
        <v>586</v>
      </c>
    </row>
    <row r="480" spans="5:15">
      <c r="E480" s="32">
        <v>477</v>
      </c>
      <c r="F480" s="28"/>
      <c r="G480" s="33"/>
      <c r="H480" s="39"/>
      <c r="I480" s="52"/>
      <c r="J480" s="73"/>
      <c r="L480" s="48">
        <v>475</v>
      </c>
      <c r="M480" s="11" t="s">
        <v>50</v>
      </c>
      <c r="N480" s="11" t="s">
        <v>26</v>
      </c>
      <c r="O480" s="11" t="s">
        <v>587</v>
      </c>
    </row>
    <row r="481" spans="5:15">
      <c r="E481" s="32">
        <v>478</v>
      </c>
      <c r="F481" s="28"/>
      <c r="G481" s="33"/>
      <c r="H481" s="39"/>
      <c r="I481" s="52"/>
      <c r="J481" s="73"/>
      <c r="L481" s="48">
        <v>476</v>
      </c>
      <c r="M481" s="11" t="s">
        <v>141</v>
      </c>
      <c r="N481" s="11" t="s">
        <v>127</v>
      </c>
      <c r="O481" s="11" t="s">
        <v>588</v>
      </c>
    </row>
    <row r="482" spans="5:15">
      <c r="E482" s="32">
        <v>479</v>
      </c>
      <c r="F482" s="28"/>
      <c r="G482" s="33"/>
      <c r="H482" s="39"/>
      <c r="I482" s="52"/>
      <c r="J482" s="73"/>
      <c r="L482" s="48">
        <v>477</v>
      </c>
      <c r="M482" s="11" t="s">
        <v>299</v>
      </c>
      <c r="N482" s="11" t="s">
        <v>177</v>
      </c>
      <c r="O482" s="11" t="s">
        <v>589</v>
      </c>
    </row>
    <row r="483" spans="5:15">
      <c r="E483" s="32">
        <v>480</v>
      </c>
      <c r="F483" s="28"/>
      <c r="G483" s="33"/>
      <c r="H483" s="39"/>
      <c r="I483" s="52"/>
      <c r="J483" s="73"/>
      <c r="L483" s="48">
        <v>478</v>
      </c>
      <c r="M483" s="11" t="s">
        <v>32</v>
      </c>
      <c r="N483" s="11" t="s">
        <v>28</v>
      </c>
      <c r="O483" s="11" t="s">
        <v>590</v>
      </c>
    </row>
    <row r="484" spans="5:15">
      <c r="E484" s="32">
        <v>481</v>
      </c>
      <c r="F484" s="28"/>
      <c r="G484" s="33"/>
      <c r="H484" s="39"/>
      <c r="I484" s="52"/>
      <c r="J484" s="73"/>
      <c r="L484" s="48">
        <v>479</v>
      </c>
      <c r="M484" s="11" t="s">
        <v>176</v>
      </c>
      <c r="N484" s="11" t="s">
        <v>59</v>
      </c>
      <c r="O484" s="11" t="s">
        <v>591</v>
      </c>
    </row>
    <row r="485" spans="5:15">
      <c r="E485" s="32">
        <v>482</v>
      </c>
      <c r="F485" s="28"/>
      <c r="G485" s="33"/>
      <c r="H485" s="39"/>
      <c r="I485" s="52"/>
      <c r="J485" s="73"/>
      <c r="L485" s="48">
        <v>480</v>
      </c>
      <c r="M485" s="11" t="s">
        <v>41</v>
      </c>
      <c r="N485" s="11" t="s">
        <v>33</v>
      </c>
      <c r="O485" s="11" t="s">
        <v>592</v>
      </c>
    </row>
    <row r="486" spans="5:15">
      <c r="E486" s="32">
        <v>483</v>
      </c>
      <c r="F486" s="28"/>
      <c r="G486" s="33"/>
      <c r="H486" s="39"/>
      <c r="I486" s="52"/>
      <c r="J486" s="73"/>
      <c r="L486" s="48">
        <v>481</v>
      </c>
      <c r="M486" s="11" t="s">
        <v>90</v>
      </c>
      <c r="N486" s="11" t="s">
        <v>135</v>
      </c>
      <c r="O486" s="11" t="s">
        <v>593</v>
      </c>
    </row>
    <row r="487" spans="5:15">
      <c r="E487" s="32">
        <v>484</v>
      </c>
      <c r="F487" s="28"/>
      <c r="G487" s="33"/>
      <c r="H487" s="39"/>
      <c r="I487" s="52"/>
      <c r="J487" s="73"/>
      <c r="L487" s="48">
        <v>482</v>
      </c>
      <c r="M487" s="11" t="s">
        <v>203</v>
      </c>
      <c r="N487" s="11" t="s">
        <v>181</v>
      </c>
      <c r="O487" s="11" t="s">
        <v>594</v>
      </c>
    </row>
    <row r="488" spans="5:15">
      <c r="E488" s="32">
        <v>485</v>
      </c>
      <c r="F488" s="28"/>
      <c r="G488" s="33"/>
      <c r="H488" s="39"/>
      <c r="I488" s="52"/>
      <c r="J488" s="73"/>
      <c r="L488" s="48">
        <v>483</v>
      </c>
      <c r="M488" s="11" t="s">
        <v>263</v>
      </c>
      <c r="N488" s="11" t="s">
        <v>173</v>
      </c>
      <c r="O488" s="11" t="s">
        <v>595</v>
      </c>
    </row>
    <row r="489" spans="5:15">
      <c r="E489" s="32">
        <v>486</v>
      </c>
      <c r="F489" s="28"/>
      <c r="G489" s="33"/>
      <c r="H489" s="39"/>
      <c r="I489" s="52"/>
      <c r="J489" s="73"/>
      <c r="L489" s="48">
        <v>484</v>
      </c>
      <c r="M489" s="11" t="s">
        <v>160</v>
      </c>
      <c r="N489" s="11" t="s">
        <v>61</v>
      </c>
      <c r="O489" s="11" t="s">
        <v>596</v>
      </c>
    </row>
    <row r="490" spans="5:15">
      <c r="E490" s="32">
        <v>487</v>
      </c>
      <c r="F490" s="28"/>
      <c r="G490" s="33"/>
      <c r="H490" s="39"/>
      <c r="I490" s="52"/>
      <c r="J490" s="73"/>
      <c r="L490" s="48">
        <v>485</v>
      </c>
      <c r="M490" s="11" t="s">
        <v>187</v>
      </c>
      <c r="N490" s="11" t="s">
        <v>20</v>
      </c>
      <c r="O490" s="11" t="s">
        <v>597</v>
      </c>
    </row>
    <row r="491" spans="5:15">
      <c r="E491" s="32">
        <v>488</v>
      </c>
      <c r="F491" s="28"/>
      <c r="G491" s="33"/>
      <c r="H491" s="39"/>
      <c r="I491" s="52"/>
      <c r="J491" s="73"/>
      <c r="L491" s="48">
        <v>486</v>
      </c>
      <c r="M491" s="11" t="s">
        <v>226</v>
      </c>
      <c r="N491" s="11" t="s">
        <v>80</v>
      </c>
      <c r="O491" s="11" t="s">
        <v>598</v>
      </c>
    </row>
    <row r="492" spans="5:15">
      <c r="E492" s="32">
        <v>489</v>
      </c>
      <c r="F492" s="28"/>
      <c r="G492" s="33"/>
      <c r="H492" s="39"/>
      <c r="I492" s="52"/>
      <c r="J492" s="73"/>
      <c r="L492" s="48">
        <v>487</v>
      </c>
      <c r="M492" s="11" t="s">
        <v>44</v>
      </c>
      <c r="N492" s="11" t="s">
        <v>45</v>
      </c>
      <c r="O492" s="11" t="s">
        <v>599</v>
      </c>
    </row>
    <row r="493" spans="5:15">
      <c r="E493" s="32">
        <v>490</v>
      </c>
      <c r="F493" s="28"/>
      <c r="G493" s="33"/>
      <c r="H493" s="39"/>
      <c r="I493" s="52"/>
      <c r="J493" s="73"/>
      <c r="L493" s="48">
        <v>488</v>
      </c>
      <c r="M493" s="11" t="s">
        <v>107</v>
      </c>
      <c r="N493" s="11" t="s">
        <v>111</v>
      </c>
      <c r="O493" s="11" t="s">
        <v>600</v>
      </c>
    </row>
    <row r="494" spans="5:15">
      <c r="E494" s="32">
        <v>491</v>
      </c>
      <c r="F494" s="28"/>
      <c r="G494" s="33"/>
      <c r="H494" s="39"/>
      <c r="I494" s="52"/>
      <c r="J494" s="73"/>
      <c r="L494" s="48">
        <v>489</v>
      </c>
      <c r="M494" s="11" t="s">
        <v>25</v>
      </c>
      <c r="N494" s="11" t="s">
        <v>51</v>
      </c>
      <c r="O494" s="11" t="s">
        <v>601</v>
      </c>
    </row>
    <row r="495" spans="5:15">
      <c r="E495" s="32">
        <v>492</v>
      </c>
      <c r="F495" s="28"/>
      <c r="G495" s="33"/>
      <c r="H495" s="39"/>
      <c r="I495" s="52"/>
      <c r="J495" s="73"/>
      <c r="L495" s="48">
        <v>490</v>
      </c>
      <c r="M495" s="11" t="s">
        <v>16</v>
      </c>
      <c r="N495" s="11" t="s">
        <v>127</v>
      </c>
      <c r="O495" s="11" t="s">
        <v>602</v>
      </c>
    </row>
    <row r="496" spans="5:15">
      <c r="E496" s="32">
        <v>493</v>
      </c>
      <c r="F496" s="28"/>
      <c r="G496" s="33"/>
      <c r="H496" s="39"/>
      <c r="I496" s="52"/>
      <c r="J496" s="73"/>
      <c r="L496" s="48">
        <v>491</v>
      </c>
      <c r="M496" s="11" t="s">
        <v>169</v>
      </c>
      <c r="N496" s="11" t="s">
        <v>28</v>
      </c>
      <c r="O496" s="11" t="s">
        <v>603</v>
      </c>
    </row>
    <row r="497" spans="5:15">
      <c r="E497" s="32">
        <v>494</v>
      </c>
      <c r="F497" s="28"/>
      <c r="G497" s="33"/>
      <c r="H497" s="39"/>
      <c r="I497" s="52"/>
      <c r="J497" s="73"/>
      <c r="L497" s="48">
        <v>492</v>
      </c>
      <c r="M497" s="11" t="s">
        <v>67</v>
      </c>
      <c r="N497" s="11" t="s">
        <v>28</v>
      </c>
      <c r="O497" s="11" t="s">
        <v>604</v>
      </c>
    </row>
    <row r="498" spans="5:15">
      <c r="E498" s="32">
        <v>495</v>
      </c>
      <c r="F498" s="28"/>
      <c r="G498" s="33"/>
      <c r="H498" s="39"/>
      <c r="I498" s="52"/>
      <c r="J498" s="73"/>
      <c r="L498" s="48">
        <v>493</v>
      </c>
      <c r="M498" s="11" t="s">
        <v>121</v>
      </c>
      <c r="N498" s="11" t="s">
        <v>429</v>
      </c>
      <c r="O498" s="11" t="s">
        <v>605</v>
      </c>
    </row>
    <row r="499" spans="5:15">
      <c r="E499" s="32">
        <v>496</v>
      </c>
      <c r="F499" s="28"/>
      <c r="G499" s="33"/>
      <c r="H499" s="39"/>
      <c r="I499" s="52"/>
      <c r="J499" s="73"/>
      <c r="L499" s="48">
        <v>494</v>
      </c>
      <c r="M499" s="11" t="s">
        <v>299</v>
      </c>
      <c r="N499" s="11" t="s">
        <v>80</v>
      </c>
      <c r="O499" s="11" t="s">
        <v>606</v>
      </c>
    </row>
    <row r="500" spans="5:15">
      <c r="E500" s="32">
        <v>497</v>
      </c>
      <c r="F500" s="28"/>
      <c r="G500" s="33"/>
      <c r="H500" s="39"/>
      <c r="I500" s="52"/>
      <c r="J500" s="73"/>
      <c r="L500" s="48">
        <v>495</v>
      </c>
      <c r="M500" s="11" t="s">
        <v>38</v>
      </c>
      <c r="N500" s="11" t="s">
        <v>98</v>
      </c>
      <c r="O500" s="11" t="s">
        <v>607</v>
      </c>
    </row>
    <row r="501" spans="5:15">
      <c r="E501" s="32">
        <v>498</v>
      </c>
      <c r="F501" s="28"/>
      <c r="G501" s="33"/>
      <c r="H501" s="39"/>
      <c r="I501" s="52"/>
      <c r="J501" s="73"/>
      <c r="L501" s="48">
        <v>496</v>
      </c>
      <c r="M501" s="11" t="s">
        <v>160</v>
      </c>
      <c r="N501" s="11" t="s">
        <v>75</v>
      </c>
      <c r="O501" s="11" t="s">
        <v>608</v>
      </c>
    </row>
    <row r="502" spans="5:15">
      <c r="E502" s="32">
        <v>499</v>
      </c>
      <c r="F502" s="28"/>
      <c r="G502" s="33"/>
      <c r="H502" s="39"/>
      <c r="I502" s="52"/>
      <c r="J502" s="73"/>
      <c r="L502" s="48">
        <v>497</v>
      </c>
      <c r="M502" s="11" t="s">
        <v>67</v>
      </c>
      <c r="N502" s="11" t="s">
        <v>51</v>
      </c>
      <c r="O502" s="11" t="s">
        <v>609</v>
      </c>
    </row>
    <row r="503" spans="5:15" ht="16.2" thickBot="1">
      <c r="E503" s="36">
        <v>500</v>
      </c>
      <c r="F503" s="37"/>
      <c r="G503" s="38"/>
      <c r="H503" s="40"/>
      <c r="I503" s="53"/>
      <c r="J503" s="74"/>
      <c r="L503" s="48">
        <v>498</v>
      </c>
      <c r="M503" s="11" t="s">
        <v>71</v>
      </c>
      <c r="N503" s="11" t="s">
        <v>73</v>
      </c>
      <c r="O503" s="11" t="s">
        <v>610</v>
      </c>
    </row>
    <row r="504" spans="5:15">
      <c r="L504" s="48">
        <v>499</v>
      </c>
      <c r="M504" s="11" t="s">
        <v>210</v>
      </c>
      <c r="N504" s="11" t="s">
        <v>54</v>
      </c>
      <c r="O504" s="11" t="s">
        <v>611</v>
      </c>
    </row>
    <row r="505" spans="5:15">
      <c r="L505" s="48">
        <v>500</v>
      </c>
      <c r="M505" s="11" t="s">
        <v>299</v>
      </c>
      <c r="N505" s="11" t="s">
        <v>135</v>
      </c>
      <c r="O505" s="11" t="s">
        <v>612</v>
      </c>
    </row>
    <row r="506" spans="5:15">
      <c r="L506" s="48">
        <v>501</v>
      </c>
      <c r="M506" s="11" t="s">
        <v>130</v>
      </c>
      <c r="N506" s="11" t="s">
        <v>193</v>
      </c>
      <c r="O506" s="11" t="s">
        <v>613</v>
      </c>
    </row>
    <row r="507" spans="5:15">
      <c r="L507" s="48">
        <v>502</v>
      </c>
      <c r="M507" s="11" t="s">
        <v>16</v>
      </c>
      <c r="N507" s="11" t="s">
        <v>85</v>
      </c>
      <c r="O507" s="11" t="s">
        <v>614</v>
      </c>
    </row>
    <row r="508" spans="5:15">
      <c r="L508" s="48">
        <v>503</v>
      </c>
      <c r="M508" s="11" t="s">
        <v>197</v>
      </c>
      <c r="N508" s="11" t="s">
        <v>111</v>
      </c>
      <c r="O508" s="11" t="s">
        <v>615</v>
      </c>
    </row>
    <row r="509" spans="5:15">
      <c r="L509" s="48">
        <v>504</v>
      </c>
      <c r="M509" s="11" t="s">
        <v>110</v>
      </c>
      <c r="N509" s="11" t="s">
        <v>173</v>
      </c>
      <c r="O509" s="11" t="s">
        <v>616</v>
      </c>
    </row>
    <row r="510" spans="5:15">
      <c r="L510" s="48">
        <v>505</v>
      </c>
      <c r="M510" s="11" t="s">
        <v>44</v>
      </c>
      <c r="N510" s="11" t="s">
        <v>125</v>
      </c>
      <c r="O510" s="11" t="s">
        <v>617</v>
      </c>
    </row>
    <row r="511" spans="5:15">
      <c r="L511" s="48">
        <v>506</v>
      </c>
      <c r="M511" s="11" t="s">
        <v>197</v>
      </c>
      <c r="N511" s="11" t="s">
        <v>96</v>
      </c>
      <c r="O511" s="11" t="s">
        <v>618</v>
      </c>
    </row>
    <row r="512" spans="5:15">
      <c r="L512" s="48">
        <v>507</v>
      </c>
      <c r="M512" s="11" t="s">
        <v>166</v>
      </c>
      <c r="N512" s="11" t="s">
        <v>142</v>
      </c>
      <c r="O512" s="11" t="s">
        <v>619</v>
      </c>
    </row>
    <row r="513" spans="12:15">
      <c r="L513" s="48">
        <v>508</v>
      </c>
      <c r="M513" s="11" t="s">
        <v>118</v>
      </c>
      <c r="N513" s="11" t="s">
        <v>204</v>
      </c>
      <c r="O513" s="11" t="s">
        <v>620</v>
      </c>
    </row>
    <row r="514" spans="12:15">
      <c r="L514" s="48">
        <v>509</v>
      </c>
      <c r="M514" s="11" t="s">
        <v>231</v>
      </c>
      <c r="N514" s="11" t="s">
        <v>61</v>
      </c>
      <c r="O514" s="11" t="s">
        <v>621</v>
      </c>
    </row>
    <row r="515" spans="12:15">
      <c r="L515" s="48">
        <v>510</v>
      </c>
      <c r="M515" s="11" t="s">
        <v>231</v>
      </c>
      <c r="N515" s="11" t="s">
        <v>45</v>
      </c>
      <c r="O515" s="11" t="s">
        <v>622</v>
      </c>
    </row>
    <row r="516" spans="12:15">
      <c r="L516" s="48">
        <v>511</v>
      </c>
      <c r="M516" s="11" t="s">
        <v>176</v>
      </c>
      <c r="N516" s="11" t="s">
        <v>212</v>
      </c>
      <c r="O516" s="11" t="s">
        <v>623</v>
      </c>
    </row>
    <row r="517" spans="12:15">
      <c r="L517" s="48">
        <v>512</v>
      </c>
      <c r="M517" s="11" t="s">
        <v>13</v>
      </c>
      <c r="N517" s="11" t="s">
        <v>51</v>
      </c>
      <c r="O517" s="11" t="s">
        <v>624</v>
      </c>
    </row>
    <row r="518" spans="12:15">
      <c r="L518" s="48">
        <v>513</v>
      </c>
      <c r="M518" s="11" t="s">
        <v>69</v>
      </c>
      <c r="N518" s="11" t="s">
        <v>65</v>
      </c>
      <c r="O518" s="11" t="s">
        <v>625</v>
      </c>
    </row>
    <row r="519" spans="12:15">
      <c r="L519" s="48">
        <v>514</v>
      </c>
      <c r="M519" s="11" t="s">
        <v>38</v>
      </c>
      <c r="N519" s="11" t="s">
        <v>88</v>
      </c>
      <c r="O519" s="11" t="s">
        <v>626</v>
      </c>
    </row>
    <row r="520" spans="12:15">
      <c r="L520" s="48">
        <v>515</v>
      </c>
      <c r="M520" s="11" t="s">
        <v>160</v>
      </c>
      <c r="N520" s="11" t="s">
        <v>36</v>
      </c>
      <c r="O520" s="11" t="s">
        <v>627</v>
      </c>
    </row>
    <row r="521" spans="12:15">
      <c r="L521" s="48">
        <v>516</v>
      </c>
      <c r="M521" s="11" t="s">
        <v>203</v>
      </c>
      <c r="N521" s="11" t="s">
        <v>173</v>
      </c>
      <c r="O521" s="11" t="s">
        <v>628</v>
      </c>
    </row>
    <row r="522" spans="12:15">
      <c r="L522" s="48">
        <v>517</v>
      </c>
      <c r="M522" s="11" t="s">
        <v>231</v>
      </c>
      <c r="N522" s="11" t="s">
        <v>429</v>
      </c>
      <c r="O522" s="11" t="s">
        <v>629</v>
      </c>
    </row>
    <row r="523" spans="12:15">
      <c r="L523" s="48">
        <v>518</v>
      </c>
      <c r="M523" s="11" t="s">
        <v>110</v>
      </c>
      <c r="N523" s="11" t="s">
        <v>346</v>
      </c>
      <c r="O523" s="11" t="s">
        <v>630</v>
      </c>
    </row>
    <row r="524" spans="12:15">
      <c r="L524" s="48">
        <v>519</v>
      </c>
      <c r="M524" s="11" t="s">
        <v>71</v>
      </c>
      <c r="N524" s="11" t="s">
        <v>93</v>
      </c>
      <c r="O524" s="11" t="s">
        <v>631</v>
      </c>
    </row>
    <row r="525" spans="12:15">
      <c r="L525" s="48">
        <v>520</v>
      </c>
      <c r="M525" s="11" t="s">
        <v>25</v>
      </c>
      <c r="N525" s="11" t="s">
        <v>204</v>
      </c>
      <c r="O525" s="11" t="s">
        <v>632</v>
      </c>
    </row>
    <row r="526" spans="12:15">
      <c r="L526" s="48">
        <v>521</v>
      </c>
      <c r="M526" s="11" t="s">
        <v>32</v>
      </c>
      <c r="N526" s="11" t="s">
        <v>111</v>
      </c>
      <c r="O526" s="11" t="s">
        <v>633</v>
      </c>
    </row>
    <row r="527" spans="12:15">
      <c r="L527" s="48">
        <v>522</v>
      </c>
      <c r="M527" s="11" t="s">
        <v>22</v>
      </c>
      <c r="N527" s="11" t="s">
        <v>122</v>
      </c>
      <c r="O527" s="11" t="s">
        <v>634</v>
      </c>
    </row>
    <row r="528" spans="12:15">
      <c r="L528" s="48">
        <v>523</v>
      </c>
      <c r="M528" s="11" t="s">
        <v>19</v>
      </c>
      <c r="N528" s="11" t="s">
        <v>193</v>
      </c>
      <c r="O528" s="11" t="s">
        <v>635</v>
      </c>
    </row>
    <row r="529" spans="12:15">
      <c r="L529" s="48">
        <v>524</v>
      </c>
      <c r="M529" s="11" t="s">
        <v>203</v>
      </c>
      <c r="N529" s="11" t="s">
        <v>181</v>
      </c>
      <c r="O529" s="11" t="s">
        <v>636</v>
      </c>
    </row>
    <row r="530" spans="12:15">
      <c r="L530" s="48">
        <v>525</v>
      </c>
      <c r="M530" s="11" t="s">
        <v>13</v>
      </c>
      <c r="N530" s="11" t="s">
        <v>193</v>
      </c>
      <c r="O530" s="11" t="s">
        <v>637</v>
      </c>
    </row>
    <row r="531" spans="12:15">
      <c r="L531" s="48">
        <v>526</v>
      </c>
      <c r="M531" s="11" t="s">
        <v>19</v>
      </c>
      <c r="N531" s="11" t="s">
        <v>26</v>
      </c>
      <c r="O531" s="11" t="s">
        <v>638</v>
      </c>
    </row>
    <row r="532" spans="12:15">
      <c r="L532" s="48">
        <v>527</v>
      </c>
      <c r="M532" s="11" t="s">
        <v>229</v>
      </c>
      <c r="N532" s="11" t="s">
        <v>54</v>
      </c>
      <c r="O532" s="11" t="s">
        <v>639</v>
      </c>
    </row>
    <row r="533" spans="12:15">
      <c r="L533" s="48">
        <v>528</v>
      </c>
      <c r="M533" s="11" t="s">
        <v>90</v>
      </c>
      <c r="N533" s="11" t="s">
        <v>59</v>
      </c>
      <c r="O533" s="11" t="s">
        <v>640</v>
      </c>
    </row>
    <row r="534" spans="12:15">
      <c r="L534" s="48">
        <v>529</v>
      </c>
      <c r="M534" s="11" t="s">
        <v>16</v>
      </c>
      <c r="N534" s="11" t="s">
        <v>59</v>
      </c>
      <c r="O534" s="11" t="s">
        <v>641</v>
      </c>
    </row>
    <row r="535" spans="12:15">
      <c r="L535" s="48">
        <v>530</v>
      </c>
      <c r="M535" s="11" t="s">
        <v>38</v>
      </c>
      <c r="N535" s="11" t="s">
        <v>54</v>
      </c>
      <c r="O535" s="11" t="s">
        <v>642</v>
      </c>
    </row>
    <row r="536" spans="12:15">
      <c r="L536" s="48">
        <v>531</v>
      </c>
      <c r="M536" s="11" t="s">
        <v>293</v>
      </c>
      <c r="N536" s="11" t="s">
        <v>39</v>
      </c>
      <c r="O536" s="11" t="s">
        <v>643</v>
      </c>
    </row>
    <row r="537" spans="12:15">
      <c r="L537" s="48">
        <v>532</v>
      </c>
      <c r="M537" s="11" t="s">
        <v>30</v>
      </c>
      <c r="N537" s="11" t="s">
        <v>85</v>
      </c>
      <c r="O537" s="11" t="s">
        <v>644</v>
      </c>
    </row>
    <row r="538" spans="12:15">
      <c r="L538" s="48">
        <v>533</v>
      </c>
      <c r="M538" s="11" t="s">
        <v>90</v>
      </c>
      <c r="N538" s="11" t="s">
        <v>57</v>
      </c>
      <c r="O538" s="11" t="s">
        <v>645</v>
      </c>
    </row>
    <row r="539" spans="12:15">
      <c r="L539" s="48">
        <v>534</v>
      </c>
      <c r="M539" s="11" t="s">
        <v>69</v>
      </c>
      <c r="N539" s="11" t="s">
        <v>346</v>
      </c>
      <c r="O539" s="11" t="s">
        <v>646</v>
      </c>
    </row>
    <row r="540" spans="12:15">
      <c r="L540" s="48">
        <v>535</v>
      </c>
      <c r="M540" s="11" t="s">
        <v>47</v>
      </c>
      <c r="N540" s="11" t="s">
        <v>147</v>
      </c>
      <c r="O540" s="11" t="s">
        <v>647</v>
      </c>
    </row>
    <row r="541" spans="12:15">
      <c r="L541" s="48">
        <v>536</v>
      </c>
      <c r="M541" s="11" t="s">
        <v>293</v>
      </c>
      <c r="N541" s="11" t="s">
        <v>346</v>
      </c>
      <c r="O541" s="11" t="s">
        <v>648</v>
      </c>
    </row>
    <row r="542" spans="12:15">
      <c r="L542" s="48">
        <v>537</v>
      </c>
      <c r="M542" s="11" t="s">
        <v>130</v>
      </c>
      <c r="N542" s="11" t="s">
        <v>14</v>
      </c>
      <c r="O542" s="11" t="s">
        <v>649</v>
      </c>
    </row>
    <row r="543" spans="12:15">
      <c r="L543" s="48">
        <v>538</v>
      </c>
      <c r="M543" s="11" t="s">
        <v>197</v>
      </c>
      <c r="N543" s="11" t="s">
        <v>28</v>
      </c>
      <c r="O543" s="11" t="s">
        <v>650</v>
      </c>
    </row>
    <row r="544" spans="12:15">
      <c r="L544" s="48">
        <v>539</v>
      </c>
      <c r="M544" s="11" t="s">
        <v>50</v>
      </c>
      <c r="N544" s="11" t="s">
        <v>75</v>
      </c>
      <c r="O544" s="11" t="s">
        <v>651</v>
      </c>
    </row>
    <row r="545" spans="12:15">
      <c r="L545" s="48">
        <v>540</v>
      </c>
      <c r="M545" s="11" t="s">
        <v>47</v>
      </c>
      <c r="N545" s="11" t="s">
        <v>28</v>
      </c>
      <c r="O545" s="11" t="s">
        <v>652</v>
      </c>
    </row>
    <row r="546" spans="12:15">
      <c r="L546" s="48">
        <v>541</v>
      </c>
      <c r="M546" s="11" t="s">
        <v>53</v>
      </c>
      <c r="N546" s="11" t="s">
        <v>125</v>
      </c>
      <c r="O546" s="11" t="s">
        <v>653</v>
      </c>
    </row>
    <row r="547" spans="12:15">
      <c r="L547" s="48">
        <v>542</v>
      </c>
      <c r="M547" s="11" t="s">
        <v>160</v>
      </c>
      <c r="N547" s="11" t="s">
        <v>105</v>
      </c>
      <c r="O547" s="11" t="s">
        <v>654</v>
      </c>
    </row>
    <row r="548" spans="12:15">
      <c r="L548" s="48">
        <v>543</v>
      </c>
      <c r="M548" s="11" t="s">
        <v>130</v>
      </c>
      <c r="N548" s="11" t="s">
        <v>127</v>
      </c>
      <c r="O548" s="11" t="s">
        <v>655</v>
      </c>
    </row>
    <row r="549" spans="12:15">
      <c r="L549" s="48">
        <v>544</v>
      </c>
      <c r="M549" s="11" t="s">
        <v>229</v>
      </c>
      <c r="N549" s="11" t="s">
        <v>138</v>
      </c>
      <c r="O549" s="11" t="s">
        <v>656</v>
      </c>
    </row>
    <row r="550" spans="12:15">
      <c r="L550" s="48">
        <v>545</v>
      </c>
      <c r="M550" s="11" t="s">
        <v>47</v>
      </c>
      <c r="N550" s="11" t="s">
        <v>73</v>
      </c>
      <c r="O550" s="11" t="s">
        <v>657</v>
      </c>
    </row>
    <row r="551" spans="12:15">
      <c r="L551" s="48">
        <v>546</v>
      </c>
      <c r="M551" s="11" t="s">
        <v>121</v>
      </c>
      <c r="N551" s="11" t="s">
        <v>59</v>
      </c>
      <c r="O551" s="11" t="s">
        <v>658</v>
      </c>
    </row>
    <row r="552" spans="12:15">
      <c r="L552" s="48">
        <v>547</v>
      </c>
      <c r="M552" s="11" t="s">
        <v>41</v>
      </c>
      <c r="N552" s="11" t="s">
        <v>153</v>
      </c>
      <c r="O552" s="11" t="s">
        <v>659</v>
      </c>
    </row>
    <row r="553" spans="12:15">
      <c r="L553" s="48">
        <v>548</v>
      </c>
      <c r="M553" s="11" t="s">
        <v>293</v>
      </c>
      <c r="N553" s="11" t="s">
        <v>14</v>
      </c>
      <c r="O553" s="11" t="s">
        <v>660</v>
      </c>
    </row>
    <row r="554" spans="12:15">
      <c r="L554" s="48">
        <v>549</v>
      </c>
      <c r="M554" s="11" t="s">
        <v>19</v>
      </c>
      <c r="N554" s="11" t="s">
        <v>108</v>
      </c>
      <c r="O554" s="11" t="s">
        <v>661</v>
      </c>
    </row>
    <row r="555" spans="12:15">
      <c r="L555" s="48">
        <v>550</v>
      </c>
      <c r="M555" s="11" t="s">
        <v>22</v>
      </c>
      <c r="N555" s="11" t="s">
        <v>51</v>
      </c>
      <c r="O555" s="11" t="s">
        <v>662</v>
      </c>
    </row>
    <row r="556" spans="12:15">
      <c r="L556" s="48">
        <v>551</v>
      </c>
      <c r="M556" s="11" t="s">
        <v>110</v>
      </c>
      <c r="N556" s="11" t="s">
        <v>54</v>
      </c>
      <c r="O556" s="11" t="s">
        <v>663</v>
      </c>
    </row>
    <row r="557" spans="12:15">
      <c r="L557" s="48">
        <v>552</v>
      </c>
      <c r="M557" s="11" t="s">
        <v>133</v>
      </c>
      <c r="N557" s="11" t="s">
        <v>78</v>
      </c>
      <c r="O557" s="11" t="s">
        <v>664</v>
      </c>
    </row>
    <row r="558" spans="12:15">
      <c r="L558" s="48">
        <v>553</v>
      </c>
      <c r="M558" s="11" t="s">
        <v>166</v>
      </c>
      <c r="N558" s="11" t="s">
        <v>28</v>
      </c>
      <c r="O558" s="11" t="s">
        <v>665</v>
      </c>
    </row>
    <row r="559" spans="12:15">
      <c r="L559" s="48">
        <v>554</v>
      </c>
      <c r="M559" s="11" t="s">
        <v>166</v>
      </c>
      <c r="N559" s="11" t="s">
        <v>73</v>
      </c>
      <c r="O559" s="11" t="s">
        <v>666</v>
      </c>
    </row>
    <row r="560" spans="12:15">
      <c r="L560" s="48">
        <v>555</v>
      </c>
      <c r="M560" s="11" t="s">
        <v>87</v>
      </c>
      <c r="N560" s="11" t="s">
        <v>93</v>
      </c>
      <c r="O560" s="11" t="s">
        <v>667</v>
      </c>
    </row>
    <row r="561" spans="12:15">
      <c r="L561" s="48">
        <v>556</v>
      </c>
      <c r="M561" s="11" t="s">
        <v>38</v>
      </c>
      <c r="N561" s="11" t="s">
        <v>401</v>
      </c>
      <c r="O561" s="11" t="s">
        <v>668</v>
      </c>
    </row>
    <row r="562" spans="12:15">
      <c r="L562" s="48">
        <v>557</v>
      </c>
      <c r="M562" s="11" t="s">
        <v>69</v>
      </c>
      <c r="N562" s="11" t="s">
        <v>135</v>
      </c>
      <c r="O562" s="11" t="s">
        <v>669</v>
      </c>
    </row>
    <row r="563" spans="12:15">
      <c r="L563" s="48">
        <v>558</v>
      </c>
      <c r="M563" s="11" t="s">
        <v>293</v>
      </c>
      <c r="N563" s="11" t="s">
        <v>28</v>
      </c>
      <c r="O563" s="11" t="s">
        <v>670</v>
      </c>
    </row>
    <row r="564" spans="12:15">
      <c r="L564" s="48">
        <v>559</v>
      </c>
      <c r="M564" s="11" t="s">
        <v>47</v>
      </c>
      <c r="N564" s="11" t="s">
        <v>23</v>
      </c>
      <c r="O564" s="11" t="s">
        <v>671</v>
      </c>
    </row>
    <row r="565" spans="12:15">
      <c r="L565" s="48">
        <v>560</v>
      </c>
      <c r="M565" s="11" t="s">
        <v>35</v>
      </c>
      <c r="N565" s="11" t="s">
        <v>138</v>
      </c>
      <c r="O565" s="11" t="s">
        <v>672</v>
      </c>
    </row>
    <row r="566" spans="12:15">
      <c r="L566" s="48">
        <v>561</v>
      </c>
      <c r="M566" s="11" t="s">
        <v>19</v>
      </c>
      <c r="N566" s="11" t="s">
        <v>204</v>
      </c>
      <c r="O566" s="11" t="s">
        <v>673</v>
      </c>
    </row>
    <row r="567" spans="12:15">
      <c r="L567" s="48">
        <v>562</v>
      </c>
      <c r="M567" s="11" t="s">
        <v>44</v>
      </c>
      <c r="N567" s="11" t="s">
        <v>138</v>
      </c>
      <c r="O567" s="11" t="s">
        <v>674</v>
      </c>
    </row>
    <row r="568" spans="12:15">
      <c r="L568" s="48">
        <v>563</v>
      </c>
      <c r="M568" s="11" t="s">
        <v>13</v>
      </c>
      <c r="N568" s="11" t="s">
        <v>135</v>
      </c>
      <c r="O568" s="11" t="s">
        <v>675</v>
      </c>
    </row>
    <row r="569" spans="12:15">
      <c r="L569" s="48">
        <v>564</v>
      </c>
      <c r="M569" s="11" t="s">
        <v>44</v>
      </c>
      <c r="N569" s="11" t="s">
        <v>108</v>
      </c>
      <c r="O569" s="11" t="s">
        <v>676</v>
      </c>
    </row>
    <row r="570" spans="12:15">
      <c r="L570" s="48">
        <v>565</v>
      </c>
      <c r="M570" s="11" t="s">
        <v>176</v>
      </c>
      <c r="N570" s="11" t="s">
        <v>39</v>
      </c>
      <c r="O570" s="11" t="s">
        <v>677</v>
      </c>
    </row>
    <row r="571" spans="12:15">
      <c r="L571" s="48">
        <v>566</v>
      </c>
      <c r="M571" s="11" t="s">
        <v>30</v>
      </c>
      <c r="N571" s="11" t="s">
        <v>429</v>
      </c>
      <c r="O571" s="11" t="s">
        <v>678</v>
      </c>
    </row>
    <row r="572" spans="12:15">
      <c r="L572" s="48">
        <v>567</v>
      </c>
      <c r="M572" s="11" t="s">
        <v>22</v>
      </c>
      <c r="N572" s="11" t="s">
        <v>83</v>
      </c>
      <c r="O572" s="11" t="s">
        <v>679</v>
      </c>
    </row>
    <row r="573" spans="12:15">
      <c r="L573" s="48">
        <v>568</v>
      </c>
      <c r="M573" s="11" t="s">
        <v>67</v>
      </c>
      <c r="N573" s="11" t="s">
        <v>85</v>
      </c>
      <c r="O573" s="11" t="s">
        <v>680</v>
      </c>
    </row>
    <row r="574" spans="12:15">
      <c r="L574" s="48">
        <v>569</v>
      </c>
      <c r="M574" s="11" t="s">
        <v>231</v>
      </c>
      <c r="N574" s="11" t="s">
        <v>173</v>
      </c>
      <c r="O574" s="11" t="s">
        <v>681</v>
      </c>
    </row>
    <row r="575" spans="12:15">
      <c r="L575" s="48">
        <v>570</v>
      </c>
      <c r="M575" s="11" t="s">
        <v>130</v>
      </c>
      <c r="N575" s="11" t="s">
        <v>346</v>
      </c>
      <c r="O575" s="11" t="s">
        <v>682</v>
      </c>
    </row>
    <row r="576" spans="12:15">
      <c r="L576" s="48">
        <v>571</v>
      </c>
      <c r="M576" s="11" t="s">
        <v>169</v>
      </c>
      <c r="N576" s="11" t="s">
        <v>17</v>
      </c>
      <c r="O576" s="11" t="s">
        <v>683</v>
      </c>
    </row>
    <row r="577" spans="12:15">
      <c r="L577" s="48">
        <v>572</v>
      </c>
      <c r="M577" s="11" t="s">
        <v>35</v>
      </c>
      <c r="N577" s="11" t="s">
        <v>173</v>
      </c>
      <c r="O577" s="11" t="s">
        <v>684</v>
      </c>
    </row>
    <row r="578" spans="12:15">
      <c r="L578" s="48">
        <v>573</v>
      </c>
      <c r="M578" s="11" t="s">
        <v>118</v>
      </c>
      <c r="N578" s="11" t="s">
        <v>153</v>
      </c>
      <c r="O578" s="11" t="s">
        <v>685</v>
      </c>
    </row>
    <row r="579" spans="12:15">
      <c r="L579" s="48">
        <v>574</v>
      </c>
      <c r="M579" s="11" t="s">
        <v>316</v>
      </c>
      <c r="N579" s="11" t="s">
        <v>98</v>
      </c>
      <c r="O579" s="11" t="s">
        <v>686</v>
      </c>
    </row>
    <row r="580" spans="12:15">
      <c r="L580" s="48">
        <v>575</v>
      </c>
      <c r="M580" s="11" t="s">
        <v>13</v>
      </c>
      <c r="N580" s="11" t="s">
        <v>179</v>
      </c>
      <c r="O580" s="11" t="s">
        <v>687</v>
      </c>
    </row>
    <row r="581" spans="12:15">
      <c r="L581" s="48">
        <v>576</v>
      </c>
      <c r="M581" s="11" t="s">
        <v>19</v>
      </c>
      <c r="N581" s="11" t="s">
        <v>346</v>
      </c>
      <c r="O581" s="11" t="s">
        <v>688</v>
      </c>
    </row>
    <row r="582" spans="12:15">
      <c r="L582" s="48">
        <v>577</v>
      </c>
      <c r="M582" s="11" t="s">
        <v>316</v>
      </c>
      <c r="N582" s="11" t="s">
        <v>204</v>
      </c>
      <c r="O582" s="11" t="s">
        <v>689</v>
      </c>
    </row>
    <row r="583" spans="12:15">
      <c r="L583" s="48">
        <v>578</v>
      </c>
      <c r="M583" s="11" t="s">
        <v>19</v>
      </c>
      <c r="N583" s="11" t="s">
        <v>138</v>
      </c>
      <c r="O583" s="11" t="s">
        <v>690</v>
      </c>
    </row>
    <row r="584" spans="12:15">
      <c r="L584" s="48">
        <v>579</v>
      </c>
      <c r="M584" s="11" t="s">
        <v>35</v>
      </c>
      <c r="N584" s="11" t="s">
        <v>93</v>
      </c>
      <c r="O584" s="11" t="s">
        <v>691</v>
      </c>
    </row>
    <row r="585" spans="12:15">
      <c r="L585" s="48">
        <v>580</v>
      </c>
      <c r="M585" s="11" t="s">
        <v>141</v>
      </c>
      <c r="N585" s="11" t="s">
        <v>83</v>
      </c>
      <c r="O585" s="11" t="s">
        <v>692</v>
      </c>
    </row>
    <row r="586" spans="12:15">
      <c r="L586" s="48">
        <v>581</v>
      </c>
      <c r="M586" s="11" t="s">
        <v>316</v>
      </c>
      <c r="N586" s="11" t="s">
        <v>28</v>
      </c>
      <c r="O586" s="11" t="s">
        <v>693</v>
      </c>
    </row>
    <row r="587" spans="12:15">
      <c r="L587" s="48">
        <v>582</v>
      </c>
      <c r="M587" s="11" t="s">
        <v>141</v>
      </c>
      <c r="N587" s="11" t="s">
        <v>45</v>
      </c>
      <c r="O587" s="11" t="s">
        <v>694</v>
      </c>
    </row>
    <row r="588" spans="12:15">
      <c r="L588" s="48">
        <v>583</v>
      </c>
      <c r="M588" s="11" t="s">
        <v>166</v>
      </c>
      <c r="N588" s="11" t="s">
        <v>48</v>
      </c>
      <c r="O588" s="11" t="s">
        <v>695</v>
      </c>
    </row>
    <row r="589" spans="12:15">
      <c r="L589" s="48">
        <v>584</v>
      </c>
      <c r="M589" s="11" t="s">
        <v>47</v>
      </c>
      <c r="N589" s="11" t="s">
        <v>51</v>
      </c>
      <c r="O589" s="11" t="s">
        <v>696</v>
      </c>
    </row>
    <row r="590" spans="12:15">
      <c r="L590" s="48">
        <v>585</v>
      </c>
      <c r="M590" s="11" t="s">
        <v>158</v>
      </c>
      <c r="N590" s="11" t="s">
        <v>78</v>
      </c>
      <c r="O590" s="11" t="s">
        <v>697</v>
      </c>
    </row>
    <row r="591" spans="12:15">
      <c r="L591" s="48">
        <v>586</v>
      </c>
      <c r="M591" s="11" t="s">
        <v>90</v>
      </c>
      <c r="N591" s="11" t="s">
        <v>33</v>
      </c>
      <c r="O591" s="11" t="s">
        <v>698</v>
      </c>
    </row>
    <row r="592" spans="12:15">
      <c r="L592" s="48">
        <v>587</v>
      </c>
      <c r="M592" s="11" t="s">
        <v>107</v>
      </c>
      <c r="N592" s="11" t="s">
        <v>173</v>
      </c>
      <c r="O592" s="11" t="s">
        <v>699</v>
      </c>
    </row>
    <row r="593" spans="12:15">
      <c r="L593" s="48">
        <v>588</v>
      </c>
      <c r="M593" s="11" t="s">
        <v>130</v>
      </c>
      <c r="N593" s="11" t="s">
        <v>65</v>
      </c>
      <c r="O593" s="11" t="s">
        <v>700</v>
      </c>
    </row>
    <row r="594" spans="12:15">
      <c r="L594" s="48">
        <v>589</v>
      </c>
      <c r="M594" s="11" t="s">
        <v>107</v>
      </c>
      <c r="N594" s="11" t="s">
        <v>88</v>
      </c>
      <c r="O594" s="11" t="s">
        <v>701</v>
      </c>
    </row>
    <row r="595" spans="12:15">
      <c r="L595" s="48">
        <v>590</v>
      </c>
      <c r="M595" s="11" t="s">
        <v>22</v>
      </c>
      <c r="N595" s="11" t="s">
        <v>147</v>
      </c>
      <c r="O595" s="11" t="s">
        <v>702</v>
      </c>
    </row>
    <row r="596" spans="12:15">
      <c r="L596" s="48">
        <v>591</v>
      </c>
      <c r="M596" s="11" t="s">
        <v>118</v>
      </c>
      <c r="N596" s="11" t="s">
        <v>138</v>
      </c>
      <c r="O596" s="11" t="s">
        <v>703</v>
      </c>
    </row>
    <row r="597" spans="12:15">
      <c r="L597" s="48">
        <v>592</v>
      </c>
      <c r="M597" s="11" t="s">
        <v>229</v>
      </c>
      <c r="N597" s="11" t="s">
        <v>45</v>
      </c>
      <c r="O597" s="11" t="s">
        <v>704</v>
      </c>
    </row>
    <row r="598" spans="12:15">
      <c r="L598" s="48">
        <v>593</v>
      </c>
      <c r="M598" s="11" t="s">
        <v>133</v>
      </c>
      <c r="N598" s="11" t="s">
        <v>73</v>
      </c>
      <c r="O598" s="11" t="s">
        <v>705</v>
      </c>
    </row>
    <row r="599" spans="12:15">
      <c r="L599" s="48">
        <v>594</v>
      </c>
      <c r="M599" s="11" t="s">
        <v>197</v>
      </c>
      <c r="N599" s="11" t="s">
        <v>36</v>
      </c>
      <c r="O599" s="11" t="s">
        <v>706</v>
      </c>
    </row>
    <row r="600" spans="12:15">
      <c r="L600" s="48">
        <v>595</v>
      </c>
      <c r="M600" s="11" t="s">
        <v>210</v>
      </c>
      <c r="N600" s="11" t="s">
        <v>122</v>
      </c>
      <c r="O600" s="11" t="s">
        <v>707</v>
      </c>
    </row>
    <row r="601" spans="12:15">
      <c r="L601" s="48">
        <v>596</v>
      </c>
      <c r="M601" s="11" t="s">
        <v>71</v>
      </c>
      <c r="N601" s="11" t="s">
        <v>33</v>
      </c>
      <c r="O601" s="11" t="s">
        <v>708</v>
      </c>
    </row>
    <row r="602" spans="12:15">
      <c r="L602" s="48">
        <v>597</v>
      </c>
      <c r="M602" s="11" t="s">
        <v>220</v>
      </c>
      <c r="N602" s="11" t="s">
        <v>85</v>
      </c>
      <c r="O602" s="11" t="s">
        <v>709</v>
      </c>
    </row>
    <row r="603" spans="12:15">
      <c r="L603" s="48">
        <v>598</v>
      </c>
      <c r="M603" s="11" t="s">
        <v>107</v>
      </c>
      <c r="N603" s="11" t="s">
        <v>125</v>
      </c>
      <c r="O603" s="11" t="s">
        <v>710</v>
      </c>
    </row>
    <row r="604" spans="12:15">
      <c r="L604" s="48">
        <v>599</v>
      </c>
      <c r="M604" s="11" t="s">
        <v>90</v>
      </c>
      <c r="N604" s="11" t="s">
        <v>28</v>
      </c>
      <c r="O604" s="11" t="s">
        <v>711</v>
      </c>
    </row>
    <row r="605" spans="12:15">
      <c r="L605" s="48">
        <v>600</v>
      </c>
      <c r="M605" s="11" t="s">
        <v>32</v>
      </c>
      <c r="N605" s="11" t="s">
        <v>212</v>
      </c>
      <c r="O605" s="11" t="s">
        <v>712</v>
      </c>
    </row>
    <row r="606" spans="12:15">
      <c r="L606" s="48">
        <v>601</v>
      </c>
      <c r="M606" s="11" t="s">
        <v>158</v>
      </c>
      <c r="N606" s="11" t="s">
        <v>181</v>
      </c>
      <c r="O606" s="11" t="s">
        <v>713</v>
      </c>
    </row>
    <row r="607" spans="12:15">
      <c r="L607" s="48">
        <v>602</v>
      </c>
      <c r="M607" s="11" t="s">
        <v>90</v>
      </c>
      <c r="N607" s="11" t="s">
        <v>135</v>
      </c>
      <c r="O607" s="11" t="s">
        <v>714</v>
      </c>
    </row>
    <row r="608" spans="12:15">
      <c r="L608" s="48">
        <v>603</v>
      </c>
      <c r="M608" s="11" t="s">
        <v>13</v>
      </c>
      <c r="N608" s="11" t="s">
        <v>401</v>
      </c>
      <c r="O608" s="11" t="s">
        <v>715</v>
      </c>
    </row>
    <row r="609" spans="12:15">
      <c r="L609" s="48">
        <v>604</v>
      </c>
      <c r="M609" s="11" t="s">
        <v>56</v>
      </c>
      <c r="N609" s="11" t="s">
        <v>145</v>
      </c>
      <c r="O609" s="11" t="s">
        <v>716</v>
      </c>
    </row>
    <row r="610" spans="12:15">
      <c r="L610" s="48">
        <v>605</v>
      </c>
      <c r="M610" s="11" t="s">
        <v>16</v>
      </c>
      <c r="N610" s="11" t="s">
        <v>26</v>
      </c>
      <c r="O610" s="11" t="s">
        <v>717</v>
      </c>
    </row>
    <row r="611" spans="12:15">
      <c r="L611" s="48">
        <v>606</v>
      </c>
      <c r="M611" s="11" t="s">
        <v>19</v>
      </c>
      <c r="N611" s="11" t="s">
        <v>147</v>
      </c>
      <c r="O611" s="11" t="s">
        <v>718</v>
      </c>
    </row>
    <row r="612" spans="12:15">
      <c r="L612" s="48">
        <v>607</v>
      </c>
      <c r="M612" s="11" t="s">
        <v>38</v>
      </c>
      <c r="N612" s="11" t="s">
        <v>138</v>
      </c>
      <c r="O612" s="11" t="s">
        <v>719</v>
      </c>
    </row>
    <row r="613" spans="12:15">
      <c r="L613" s="48">
        <v>608</v>
      </c>
      <c r="M613" s="11" t="s">
        <v>226</v>
      </c>
      <c r="N613" s="11" t="s">
        <v>26</v>
      </c>
      <c r="O613" s="11" t="s">
        <v>720</v>
      </c>
    </row>
    <row r="614" spans="12:15">
      <c r="L614" s="48">
        <v>609</v>
      </c>
      <c r="M614" s="11" t="s">
        <v>118</v>
      </c>
      <c r="N614" s="11" t="s">
        <v>193</v>
      </c>
      <c r="O614" s="11" t="s">
        <v>721</v>
      </c>
    </row>
    <row r="615" spans="12:15">
      <c r="L615" s="48">
        <v>610</v>
      </c>
      <c r="M615" s="11" t="s">
        <v>203</v>
      </c>
      <c r="N615" s="11" t="s">
        <v>45</v>
      </c>
      <c r="O615" s="11" t="s">
        <v>722</v>
      </c>
    </row>
    <row r="616" spans="12:15">
      <c r="L616" s="48">
        <v>611</v>
      </c>
      <c r="M616" s="11" t="s">
        <v>41</v>
      </c>
      <c r="N616" s="11" t="s">
        <v>127</v>
      </c>
      <c r="O616" s="11" t="s">
        <v>723</v>
      </c>
    </row>
    <row r="617" spans="12:15">
      <c r="L617" s="48">
        <v>612</v>
      </c>
      <c r="M617" s="11" t="s">
        <v>77</v>
      </c>
      <c r="N617" s="11" t="s">
        <v>26</v>
      </c>
      <c r="O617" s="11" t="s">
        <v>724</v>
      </c>
    </row>
    <row r="618" spans="12:15">
      <c r="L618" s="48">
        <v>613</v>
      </c>
      <c r="M618" s="11" t="s">
        <v>64</v>
      </c>
      <c r="N618" s="11" t="s">
        <v>83</v>
      </c>
      <c r="O618" s="11" t="s">
        <v>725</v>
      </c>
    </row>
    <row r="619" spans="12:15">
      <c r="L619" s="48">
        <v>614</v>
      </c>
      <c r="M619" s="11" t="s">
        <v>13</v>
      </c>
      <c r="N619" s="11" t="s">
        <v>429</v>
      </c>
      <c r="O619" s="11" t="s">
        <v>726</v>
      </c>
    </row>
    <row r="620" spans="12:15">
      <c r="L620" s="48">
        <v>615</v>
      </c>
      <c r="M620" s="11" t="s">
        <v>316</v>
      </c>
      <c r="N620" s="11" t="s">
        <v>20</v>
      </c>
      <c r="O620" s="11" t="s">
        <v>727</v>
      </c>
    </row>
    <row r="621" spans="12:15">
      <c r="L621" s="48">
        <v>616</v>
      </c>
      <c r="M621" s="11" t="s">
        <v>299</v>
      </c>
      <c r="N621" s="11" t="s">
        <v>17</v>
      </c>
      <c r="O621" s="11" t="s">
        <v>728</v>
      </c>
    </row>
    <row r="622" spans="12:15">
      <c r="L622" s="48">
        <v>617</v>
      </c>
      <c r="M622" s="11" t="s">
        <v>110</v>
      </c>
      <c r="N622" s="11" t="s">
        <v>181</v>
      </c>
      <c r="O622" s="11" t="s">
        <v>729</v>
      </c>
    </row>
    <row r="623" spans="12:15">
      <c r="L623" s="48">
        <v>618</v>
      </c>
      <c r="M623" s="11" t="s">
        <v>169</v>
      </c>
      <c r="N623" s="11" t="s">
        <v>45</v>
      </c>
      <c r="O623" s="11" t="s">
        <v>730</v>
      </c>
    </row>
    <row r="624" spans="12:15">
      <c r="L624" s="48">
        <v>619</v>
      </c>
      <c r="M624" s="11" t="s">
        <v>110</v>
      </c>
      <c r="N624" s="11" t="s">
        <v>93</v>
      </c>
      <c r="O624" s="11" t="s">
        <v>731</v>
      </c>
    </row>
    <row r="625" spans="12:15">
      <c r="L625" s="48">
        <v>620</v>
      </c>
      <c r="M625" s="11" t="s">
        <v>64</v>
      </c>
      <c r="N625" s="11" t="s">
        <v>48</v>
      </c>
      <c r="O625" s="11" t="s">
        <v>732</v>
      </c>
    </row>
    <row r="626" spans="12:15">
      <c r="L626" s="48">
        <v>621</v>
      </c>
      <c r="M626" s="11" t="s">
        <v>25</v>
      </c>
      <c r="N626" s="11" t="s">
        <v>28</v>
      </c>
      <c r="O626" s="11" t="s">
        <v>733</v>
      </c>
    </row>
    <row r="627" spans="12:15">
      <c r="L627" s="48">
        <v>622</v>
      </c>
      <c r="M627" s="11" t="s">
        <v>121</v>
      </c>
      <c r="N627" s="11" t="s">
        <v>173</v>
      </c>
      <c r="O627" s="11" t="s">
        <v>734</v>
      </c>
    </row>
    <row r="628" spans="12:15">
      <c r="L628" s="48">
        <v>623</v>
      </c>
      <c r="M628" s="11" t="s">
        <v>95</v>
      </c>
      <c r="N628" s="11" t="s">
        <v>80</v>
      </c>
      <c r="O628" s="11" t="s">
        <v>735</v>
      </c>
    </row>
    <row r="629" spans="12:15">
      <c r="L629" s="48">
        <v>624</v>
      </c>
      <c r="M629" s="11" t="s">
        <v>44</v>
      </c>
      <c r="N629" s="11" t="s">
        <v>138</v>
      </c>
      <c r="O629" s="11" t="s">
        <v>736</v>
      </c>
    </row>
    <row r="630" spans="12:15">
      <c r="L630" s="48">
        <v>625</v>
      </c>
      <c r="M630" s="11" t="s">
        <v>107</v>
      </c>
      <c r="N630" s="11" t="s">
        <v>346</v>
      </c>
      <c r="O630" s="11" t="s">
        <v>737</v>
      </c>
    </row>
    <row r="631" spans="12:15">
      <c r="L631" s="48">
        <v>626</v>
      </c>
      <c r="M631" s="11" t="s">
        <v>53</v>
      </c>
      <c r="N631" s="11" t="s">
        <v>51</v>
      </c>
      <c r="O631" s="11" t="s">
        <v>738</v>
      </c>
    </row>
    <row r="632" spans="12:15">
      <c r="L632" s="48">
        <v>627</v>
      </c>
      <c r="M632" s="11" t="s">
        <v>263</v>
      </c>
      <c r="N632" s="11" t="s">
        <v>429</v>
      </c>
      <c r="O632" s="11" t="s">
        <v>739</v>
      </c>
    </row>
    <row r="633" spans="12:15">
      <c r="L633" s="48">
        <v>628</v>
      </c>
      <c r="M633" s="11" t="s">
        <v>56</v>
      </c>
      <c r="N633" s="11" t="s">
        <v>138</v>
      </c>
      <c r="O633" s="11" t="s">
        <v>740</v>
      </c>
    </row>
    <row r="634" spans="12:15">
      <c r="L634" s="48">
        <v>629</v>
      </c>
      <c r="M634" s="11" t="s">
        <v>116</v>
      </c>
      <c r="N634" s="11" t="s">
        <v>108</v>
      </c>
      <c r="O634" s="11" t="s">
        <v>741</v>
      </c>
    </row>
    <row r="635" spans="12:15">
      <c r="L635" s="48">
        <v>630</v>
      </c>
      <c r="M635" s="11" t="s">
        <v>87</v>
      </c>
      <c r="N635" s="11" t="s">
        <v>179</v>
      </c>
      <c r="O635" s="11" t="s">
        <v>742</v>
      </c>
    </row>
    <row r="636" spans="12:15">
      <c r="L636" s="48">
        <v>631</v>
      </c>
      <c r="M636" s="11" t="s">
        <v>22</v>
      </c>
      <c r="N636" s="11" t="s">
        <v>127</v>
      </c>
      <c r="O636" s="11" t="s">
        <v>743</v>
      </c>
    </row>
    <row r="637" spans="12:15">
      <c r="L637" s="48">
        <v>632</v>
      </c>
      <c r="M637" s="11" t="s">
        <v>160</v>
      </c>
      <c r="N637" s="11" t="s">
        <v>20</v>
      </c>
      <c r="O637" s="11" t="s">
        <v>744</v>
      </c>
    </row>
    <row r="638" spans="12:15">
      <c r="L638" s="48">
        <v>633</v>
      </c>
      <c r="M638" s="11" t="s">
        <v>16</v>
      </c>
      <c r="N638" s="11" t="s">
        <v>45</v>
      </c>
      <c r="O638" s="11" t="s">
        <v>745</v>
      </c>
    </row>
    <row r="639" spans="12:15">
      <c r="L639" s="48">
        <v>634</v>
      </c>
      <c r="M639" s="11" t="s">
        <v>158</v>
      </c>
      <c r="N639" s="11" t="s">
        <v>93</v>
      </c>
      <c r="O639" s="11" t="s">
        <v>746</v>
      </c>
    </row>
    <row r="640" spans="12:15">
      <c r="L640" s="48">
        <v>635</v>
      </c>
      <c r="M640" s="11" t="s">
        <v>118</v>
      </c>
      <c r="N640" s="11" t="s">
        <v>51</v>
      </c>
      <c r="O640" s="11" t="s">
        <v>747</v>
      </c>
    </row>
    <row r="641" spans="12:15">
      <c r="L641" s="48">
        <v>636</v>
      </c>
      <c r="M641" s="11" t="s">
        <v>169</v>
      </c>
      <c r="N641" s="11" t="s">
        <v>61</v>
      </c>
      <c r="O641" s="11" t="s">
        <v>748</v>
      </c>
    </row>
    <row r="642" spans="12:15">
      <c r="L642" s="48">
        <v>637</v>
      </c>
      <c r="M642" s="11" t="s">
        <v>124</v>
      </c>
      <c r="N642" s="11" t="s">
        <v>401</v>
      </c>
      <c r="O642" s="11" t="s">
        <v>749</v>
      </c>
    </row>
    <row r="643" spans="12:15">
      <c r="L643" s="48">
        <v>638</v>
      </c>
      <c r="M643" s="11" t="s">
        <v>50</v>
      </c>
      <c r="N643" s="11" t="s">
        <v>20</v>
      </c>
      <c r="O643" s="11" t="s">
        <v>750</v>
      </c>
    </row>
    <row r="644" spans="12:15">
      <c r="L644" s="48">
        <v>639</v>
      </c>
      <c r="M644" s="11" t="s">
        <v>50</v>
      </c>
      <c r="N644" s="11" t="s">
        <v>153</v>
      </c>
      <c r="O644" s="11" t="s">
        <v>751</v>
      </c>
    </row>
    <row r="645" spans="12:15">
      <c r="L645" s="48">
        <v>640</v>
      </c>
      <c r="M645" s="11" t="s">
        <v>169</v>
      </c>
      <c r="N645" s="11" t="s">
        <v>57</v>
      </c>
      <c r="O645" s="11" t="s">
        <v>752</v>
      </c>
    </row>
    <row r="646" spans="12:15">
      <c r="L646" s="48">
        <v>641</v>
      </c>
      <c r="M646" s="11" t="s">
        <v>118</v>
      </c>
      <c r="N646" s="11" t="s">
        <v>96</v>
      </c>
      <c r="O646" s="11" t="s">
        <v>753</v>
      </c>
    </row>
    <row r="647" spans="12:15">
      <c r="L647" s="48">
        <v>642</v>
      </c>
      <c r="M647" s="11" t="s">
        <v>47</v>
      </c>
      <c r="N647" s="11" t="s">
        <v>28</v>
      </c>
      <c r="O647" s="11" t="s">
        <v>754</v>
      </c>
    </row>
    <row r="648" spans="12:15">
      <c r="L648" s="48">
        <v>643</v>
      </c>
      <c r="M648" s="11" t="s">
        <v>56</v>
      </c>
      <c r="N648" s="11" t="s">
        <v>105</v>
      </c>
      <c r="O648" s="11" t="s">
        <v>755</v>
      </c>
    </row>
    <row r="649" spans="12:15">
      <c r="L649" s="48">
        <v>644</v>
      </c>
      <c r="M649" s="11" t="s">
        <v>87</v>
      </c>
      <c r="N649" s="11" t="s">
        <v>125</v>
      </c>
      <c r="O649" s="11" t="s">
        <v>756</v>
      </c>
    </row>
    <row r="650" spans="12:15">
      <c r="L650" s="48">
        <v>645</v>
      </c>
      <c r="M650" s="11" t="s">
        <v>64</v>
      </c>
      <c r="N650" s="11" t="s">
        <v>85</v>
      </c>
      <c r="O650" s="11" t="s">
        <v>757</v>
      </c>
    </row>
    <row r="651" spans="12:15">
      <c r="L651" s="48">
        <v>646</v>
      </c>
      <c r="M651" s="11" t="s">
        <v>229</v>
      </c>
      <c r="N651" s="11" t="s">
        <v>59</v>
      </c>
      <c r="O651" s="11" t="s">
        <v>758</v>
      </c>
    </row>
    <row r="652" spans="12:15">
      <c r="L652" s="48">
        <v>647</v>
      </c>
      <c r="M652" s="11" t="s">
        <v>187</v>
      </c>
      <c r="N652" s="11" t="s">
        <v>193</v>
      </c>
      <c r="O652" s="11" t="s">
        <v>759</v>
      </c>
    </row>
    <row r="653" spans="12:15">
      <c r="L653" s="48">
        <v>648</v>
      </c>
      <c r="M653" s="11" t="s">
        <v>158</v>
      </c>
      <c r="N653" s="11" t="s">
        <v>122</v>
      </c>
      <c r="O653" s="11" t="s">
        <v>760</v>
      </c>
    </row>
    <row r="654" spans="12:15">
      <c r="L654" s="48">
        <v>649</v>
      </c>
      <c r="M654" s="11" t="s">
        <v>229</v>
      </c>
      <c r="N654" s="11" t="s">
        <v>59</v>
      </c>
      <c r="O654" s="11" t="s">
        <v>761</v>
      </c>
    </row>
    <row r="655" spans="12:15">
      <c r="L655" s="48">
        <v>650</v>
      </c>
      <c r="M655" s="11" t="s">
        <v>130</v>
      </c>
      <c r="N655" s="11" t="s">
        <v>111</v>
      </c>
      <c r="O655" s="11" t="s">
        <v>762</v>
      </c>
    </row>
    <row r="656" spans="12:15">
      <c r="L656" s="48">
        <v>651</v>
      </c>
      <c r="M656" s="11" t="s">
        <v>187</v>
      </c>
      <c r="N656" s="11" t="s">
        <v>85</v>
      </c>
      <c r="O656" s="11" t="s">
        <v>763</v>
      </c>
    </row>
    <row r="657" spans="12:15">
      <c r="L657" s="48">
        <v>652</v>
      </c>
      <c r="M657" s="11" t="s">
        <v>166</v>
      </c>
      <c r="N657" s="11" t="s">
        <v>98</v>
      </c>
      <c r="O657" s="11" t="s">
        <v>764</v>
      </c>
    </row>
    <row r="658" spans="12:15">
      <c r="L658" s="48">
        <v>653</v>
      </c>
      <c r="M658" s="11" t="s">
        <v>19</v>
      </c>
      <c r="N658" s="11" t="s">
        <v>80</v>
      </c>
      <c r="O658" s="11" t="s">
        <v>765</v>
      </c>
    </row>
    <row r="659" spans="12:15">
      <c r="L659" s="48">
        <v>654</v>
      </c>
      <c r="M659" s="11" t="s">
        <v>197</v>
      </c>
      <c r="N659" s="11" t="s">
        <v>65</v>
      </c>
      <c r="O659" s="11" t="s">
        <v>766</v>
      </c>
    </row>
    <row r="660" spans="12:15">
      <c r="L660" s="48">
        <v>655</v>
      </c>
      <c r="M660" s="11" t="s">
        <v>50</v>
      </c>
      <c r="N660" s="11" t="s">
        <v>177</v>
      </c>
      <c r="O660" s="11" t="s">
        <v>767</v>
      </c>
    </row>
    <row r="661" spans="12:15">
      <c r="L661" s="48">
        <v>656</v>
      </c>
      <c r="M661" s="11" t="s">
        <v>316</v>
      </c>
      <c r="N661" s="11" t="s">
        <v>26</v>
      </c>
      <c r="O661" s="11" t="s">
        <v>768</v>
      </c>
    </row>
    <row r="662" spans="12:15">
      <c r="L662" s="48">
        <v>657</v>
      </c>
      <c r="M662" s="11" t="s">
        <v>30</v>
      </c>
      <c r="N662" s="11" t="s">
        <v>39</v>
      </c>
      <c r="O662" s="11" t="s">
        <v>769</v>
      </c>
    </row>
    <row r="663" spans="12:15">
      <c r="L663" s="48">
        <v>658</v>
      </c>
      <c r="M663" s="11" t="s">
        <v>197</v>
      </c>
      <c r="N663" s="11" t="s">
        <v>51</v>
      </c>
      <c r="O663" s="11" t="s">
        <v>770</v>
      </c>
    </row>
    <row r="664" spans="12:15">
      <c r="L664" s="48">
        <v>659</v>
      </c>
      <c r="M664" s="11" t="s">
        <v>32</v>
      </c>
      <c r="N664" s="11" t="s">
        <v>28</v>
      </c>
      <c r="O664" s="11" t="s">
        <v>771</v>
      </c>
    </row>
    <row r="665" spans="12:15">
      <c r="L665" s="48">
        <v>660</v>
      </c>
      <c r="M665" s="11" t="s">
        <v>316</v>
      </c>
      <c r="N665" s="11" t="s">
        <v>26</v>
      </c>
      <c r="O665" s="11" t="s">
        <v>772</v>
      </c>
    </row>
    <row r="666" spans="12:15">
      <c r="L666" s="48">
        <v>661</v>
      </c>
      <c r="M666" s="11" t="s">
        <v>25</v>
      </c>
      <c r="N666" s="11" t="s">
        <v>45</v>
      </c>
      <c r="O666" s="11" t="s">
        <v>773</v>
      </c>
    </row>
    <row r="667" spans="12:15">
      <c r="L667" s="48">
        <v>662</v>
      </c>
      <c r="M667" s="11" t="s">
        <v>220</v>
      </c>
      <c r="N667" s="11" t="s">
        <v>20</v>
      </c>
      <c r="O667" s="11" t="s">
        <v>774</v>
      </c>
    </row>
    <row r="668" spans="12:15">
      <c r="L668" s="48">
        <v>663</v>
      </c>
      <c r="M668" s="11" t="s">
        <v>32</v>
      </c>
      <c r="N668" s="11" t="s">
        <v>28</v>
      </c>
      <c r="O668" s="11" t="s">
        <v>775</v>
      </c>
    </row>
    <row r="669" spans="12:15">
      <c r="L669" s="48">
        <v>664</v>
      </c>
      <c r="M669" s="11" t="s">
        <v>44</v>
      </c>
      <c r="N669" s="11" t="s">
        <v>51</v>
      </c>
      <c r="O669" s="11" t="s">
        <v>776</v>
      </c>
    </row>
    <row r="670" spans="12:15">
      <c r="L670" s="48">
        <v>665</v>
      </c>
      <c r="M670" s="11" t="s">
        <v>22</v>
      </c>
      <c r="N670" s="11" t="s">
        <v>127</v>
      </c>
      <c r="O670" s="11" t="s">
        <v>777</v>
      </c>
    </row>
    <row r="671" spans="12:15">
      <c r="L671" s="48">
        <v>666</v>
      </c>
      <c r="M671" s="11" t="s">
        <v>293</v>
      </c>
      <c r="N671" s="11" t="s">
        <v>153</v>
      </c>
      <c r="O671" s="11" t="s">
        <v>778</v>
      </c>
    </row>
    <row r="672" spans="12:15">
      <c r="L672" s="48">
        <v>667</v>
      </c>
      <c r="M672" s="11" t="s">
        <v>56</v>
      </c>
      <c r="N672" s="11" t="s">
        <v>83</v>
      </c>
      <c r="O672" s="11" t="s">
        <v>779</v>
      </c>
    </row>
    <row r="673" spans="12:15">
      <c r="L673" s="48">
        <v>668</v>
      </c>
      <c r="M673" s="11" t="s">
        <v>116</v>
      </c>
      <c r="N673" s="11" t="s">
        <v>65</v>
      </c>
      <c r="O673" s="11" t="s">
        <v>780</v>
      </c>
    </row>
    <row r="674" spans="12:15">
      <c r="L674" s="48">
        <v>669</v>
      </c>
      <c r="M674" s="11" t="s">
        <v>22</v>
      </c>
      <c r="N674" s="11" t="s">
        <v>429</v>
      </c>
      <c r="O674" s="11" t="s">
        <v>781</v>
      </c>
    </row>
    <row r="675" spans="12:15">
      <c r="L675" s="48">
        <v>670</v>
      </c>
      <c r="M675" s="11" t="s">
        <v>169</v>
      </c>
      <c r="N675" s="11" t="s">
        <v>177</v>
      </c>
      <c r="O675" s="11" t="s">
        <v>782</v>
      </c>
    </row>
    <row r="676" spans="12:15">
      <c r="L676" s="48">
        <v>671</v>
      </c>
      <c r="M676" s="11" t="s">
        <v>95</v>
      </c>
      <c r="N676" s="11" t="s">
        <v>65</v>
      </c>
      <c r="O676" s="11" t="s">
        <v>783</v>
      </c>
    </row>
    <row r="677" spans="12:15">
      <c r="L677" s="48">
        <v>672</v>
      </c>
      <c r="M677" s="11" t="s">
        <v>116</v>
      </c>
      <c r="N677" s="11" t="s">
        <v>153</v>
      </c>
      <c r="O677" s="11" t="s">
        <v>784</v>
      </c>
    </row>
    <row r="678" spans="12:15">
      <c r="L678" s="48">
        <v>673</v>
      </c>
      <c r="M678" s="11" t="s">
        <v>203</v>
      </c>
      <c r="N678" s="11" t="s">
        <v>39</v>
      </c>
      <c r="O678" s="11" t="s">
        <v>785</v>
      </c>
    </row>
    <row r="679" spans="12:15">
      <c r="L679" s="48">
        <v>674</v>
      </c>
      <c r="M679" s="11" t="s">
        <v>107</v>
      </c>
      <c r="N679" s="11" t="s">
        <v>96</v>
      </c>
      <c r="O679" s="11" t="s">
        <v>786</v>
      </c>
    </row>
    <row r="680" spans="12:15">
      <c r="L680" s="48">
        <v>675</v>
      </c>
      <c r="M680" s="11" t="s">
        <v>30</v>
      </c>
      <c r="N680" s="11" t="s">
        <v>142</v>
      </c>
      <c r="O680" s="11" t="s">
        <v>787</v>
      </c>
    </row>
    <row r="681" spans="12:15">
      <c r="L681" s="48">
        <v>676</v>
      </c>
      <c r="M681" s="11" t="s">
        <v>32</v>
      </c>
      <c r="N681" s="11" t="s">
        <v>61</v>
      </c>
      <c r="O681" s="11" t="s">
        <v>788</v>
      </c>
    </row>
    <row r="682" spans="12:15">
      <c r="L682" s="48">
        <v>677</v>
      </c>
      <c r="M682" s="11" t="s">
        <v>141</v>
      </c>
      <c r="N682" s="11" t="s">
        <v>111</v>
      </c>
      <c r="O682" s="11" t="s">
        <v>789</v>
      </c>
    </row>
    <row r="683" spans="12:15">
      <c r="L683" s="48">
        <v>678</v>
      </c>
      <c r="M683" s="11" t="s">
        <v>197</v>
      </c>
      <c r="N683" s="11" t="s">
        <v>61</v>
      </c>
      <c r="O683" s="11" t="s">
        <v>790</v>
      </c>
    </row>
    <row r="684" spans="12:15">
      <c r="L684" s="48">
        <v>679</v>
      </c>
      <c r="M684" s="11" t="s">
        <v>16</v>
      </c>
      <c r="N684" s="11" t="s">
        <v>80</v>
      </c>
      <c r="O684" s="11" t="s">
        <v>791</v>
      </c>
    </row>
    <row r="685" spans="12:15">
      <c r="L685" s="48">
        <v>680</v>
      </c>
      <c r="M685" s="11" t="s">
        <v>176</v>
      </c>
      <c r="N685" s="11" t="s">
        <v>42</v>
      </c>
      <c r="O685" s="11" t="s">
        <v>792</v>
      </c>
    </row>
    <row r="686" spans="12:15">
      <c r="L686" s="48">
        <v>681</v>
      </c>
      <c r="M686" s="11" t="s">
        <v>22</v>
      </c>
      <c r="N686" s="11" t="s">
        <v>125</v>
      </c>
      <c r="O686" s="11" t="s">
        <v>793</v>
      </c>
    </row>
    <row r="687" spans="12:15">
      <c r="L687" s="48">
        <v>682</v>
      </c>
      <c r="M687" s="11" t="s">
        <v>316</v>
      </c>
      <c r="N687" s="11" t="s">
        <v>96</v>
      </c>
      <c r="O687" s="11" t="s">
        <v>794</v>
      </c>
    </row>
    <row r="688" spans="12:15">
      <c r="L688" s="48">
        <v>683</v>
      </c>
      <c r="M688" s="11" t="s">
        <v>263</v>
      </c>
      <c r="N688" s="11" t="s">
        <v>111</v>
      </c>
      <c r="O688" s="11" t="s">
        <v>795</v>
      </c>
    </row>
    <row r="689" spans="12:15">
      <c r="L689" s="48">
        <v>684</v>
      </c>
      <c r="M689" s="11" t="s">
        <v>118</v>
      </c>
      <c r="N689" s="11" t="s">
        <v>96</v>
      </c>
      <c r="O689" s="11" t="s">
        <v>796</v>
      </c>
    </row>
    <row r="690" spans="12:15">
      <c r="L690" s="48">
        <v>685</v>
      </c>
      <c r="M690" s="11" t="s">
        <v>25</v>
      </c>
      <c r="N690" s="11" t="s">
        <v>26</v>
      </c>
      <c r="O690" s="11" t="s">
        <v>797</v>
      </c>
    </row>
    <row r="691" spans="12:15">
      <c r="L691" s="48">
        <v>686</v>
      </c>
      <c r="M691" s="11" t="s">
        <v>95</v>
      </c>
      <c r="N691" s="11" t="s">
        <v>98</v>
      </c>
      <c r="O691" s="11" t="s">
        <v>798</v>
      </c>
    </row>
    <row r="692" spans="12:15">
      <c r="L692" s="48">
        <v>687</v>
      </c>
      <c r="M692" s="11" t="s">
        <v>71</v>
      </c>
      <c r="N692" s="11" t="s">
        <v>142</v>
      </c>
      <c r="O692" s="11" t="s">
        <v>799</v>
      </c>
    </row>
    <row r="693" spans="12:15">
      <c r="L693" s="48">
        <v>688</v>
      </c>
      <c r="M693" s="11" t="s">
        <v>22</v>
      </c>
      <c r="N693" s="11" t="s">
        <v>98</v>
      </c>
      <c r="O693" s="11" t="s">
        <v>800</v>
      </c>
    </row>
    <row r="694" spans="12:15">
      <c r="L694" s="48">
        <v>689</v>
      </c>
      <c r="M694" s="11" t="s">
        <v>166</v>
      </c>
      <c r="N694" s="11" t="s">
        <v>14</v>
      </c>
      <c r="O694" s="11" t="s">
        <v>801</v>
      </c>
    </row>
    <row r="695" spans="12:15">
      <c r="L695" s="48">
        <v>690</v>
      </c>
      <c r="M695" s="11" t="s">
        <v>47</v>
      </c>
      <c r="N695" s="11" t="s">
        <v>51</v>
      </c>
      <c r="O695" s="11" t="s">
        <v>802</v>
      </c>
    </row>
    <row r="696" spans="12:15">
      <c r="L696" s="48">
        <v>691</v>
      </c>
      <c r="M696" s="11" t="s">
        <v>67</v>
      </c>
      <c r="N696" s="11" t="s">
        <v>33</v>
      </c>
      <c r="O696" s="11" t="s">
        <v>803</v>
      </c>
    </row>
    <row r="697" spans="12:15">
      <c r="L697" s="48">
        <v>692</v>
      </c>
      <c r="M697" s="11" t="s">
        <v>169</v>
      </c>
      <c r="N697" s="11" t="s">
        <v>111</v>
      </c>
      <c r="O697" s="11" t="s">
        <v>804</v>
      </c>
    </row>
    <row r="698" spans="12:15">
      <c r="L698" s="48">
        <v>693</v>
      </c>
      <c r="M698" s="11" t="s">
        <v>95</v>
      </c>
      <c r="N698" s="11" t="s">
        <v>73</v>
      </c>
      <c r="O698" s="11" t="s">
        <v>805</v>
      </c>
    </row>
    <row r="699" spans="12:15">
      <c r="L699" s="48">
        <v>694</v>
      </c>
      <c r="M699" s="11" t="s">
        <v>124</v>
      </c>
      <c r="N699" s="11" t="s">
        <v>85</v>
      </c>
      <c r="O699" s="11" t="s">
        <v>806</v>
      </c>
    </row>
    <row r="700" spans="12:15">
      <c r="L700" s="48">
        <v>695</v>
      </c>
      <c r="M700" s="11" t="s">
        <v>35</v>
      </c>
      <c r="N700" s="11" t="s">
        <v>75</v>
      </c>
      <c r="O700" s="11" t="s">
        <v>807</v>
      </c>
    </row>
    <row r="701" spans="12:15">
      <c r="L701" s="48">
        <v>696</v>
      </c>
      <c r="M701" s="11" t="s">
        <v>32</v>
      </c>
      <c r="N701" s="11" t="s">
        <v>33</v>
      </c>
      <c r="O701" s="11" t="s">
        <v>808</v>
      </c>
    </row>
    <row r="702" spans="12:15">
      <c r="L702" s="48">
        <v>697</v>
      </c>
      <c r="M702" s="11" t="s">
        <v>203</v>
      </c>
      <c r="N702" s="11" t="s">
        <v>85</v>
      </c>
      <c r="O702" s="11" t="s">
        <v>809</v>
      </c>
    </row>
    <row r="703" spans="12:15">
      <c r="L703" s="48">
        <v>698</v>
      </c>
      <c r="M703" s="11" t="s">
        <v>124</v>
      </c>
      <c r="N703" s="11" t="s">
        <v>17</v>
      </c>
      <c r="O703" s="11" t="s">
        <v>810</v>
      </c>
    </row>
    <row r="704" spans="12:15">
      <c r="L704" s="48">
        <v>699</v>
      </c>
      <c r="M704" s="11" t="s">
        <v>64</v>
      </c>
      <c r="N704" s="11" t="s">
        <v>28</v>
      </c>
      <c r="O704" s="11" t="s">
        <v>811</v>
      </c>
    </row>
    <row r="705" spans="12:15">
      <c r="L705" s="48">
        <v>700</v>
      </c>
      <c r="M705" s="11" t="s">
        <v>176</v>
      </c>
      <c r="N705" s="11" t="s">
        <v>75</v>
      </c>
      <c r="O705" s="11" t="s">
        <v>812</v>
      </c>
    </row>
    <row r="706" spans="12:15">
      <c r="L706" s="48">
        <v>701</v>
      </c>
      <c r="M706" s="11" t="s">
        <v>16</v>
      </c>
      <c r="N706" s="11" t="s">
        <v>73</v>
      </c>
      <c r="O706" s="11" t="s">
        <v>813</v>
      </c>
    </row>
    <row r="707" spans="12:15">
      <c r="L707" s="48">
        <v>702</v>
      </c>
      <c r="M707" s="11" t="s">
        <v>203</v>
      </c>
      <c r="N707" s="11" t="s">
        <v>122</v>
      </c>
      <c r="O707" s="11" t="s">
        <v>814</v>
      </c>
    </row>
    <row r="708" spans="12:15">
      <c r="L708" s="48">
        <v>703</v>
      </c>
      <c r="M708" s="11" t="s">
        <v>220</v>
      </c>
      <c r="N708" s="11" t="s">
        <v>17</v>
      </c>
      <c r="O708" s="11" t="s">
        <v>815</v>
      </c>
    </row>
    <row r="709" spans="12:15">
      <c r="L709" s="48">
        <v>704</v>
      </c>
      <c r="M709" s="11" t="s">
        <v>16</v>
      </c>
      <c r="N709" s="11" t="s">
        <v>88</v>
      </c>
      <c r="O709" s="11" t="s">
        <v>816</v>
      </c>
    </row>
    <row r="710" spans="12:15">
      <c r="L710" s="48">
        <v>705</v>
      </c>
      <c r="M710" s="11" t="s">
        <v>293</v>
      </c>
      <c r="N710" s="11" t="s">
        <v>73</v>
      </c>
      <c r="O710" s="11" t="s">
        <v>817</v>
      </c>
    </row>
    <row r="711" spans="12:15">
      <c r="L711" s="48">
        <v>706</v>
      </c>
      <c r="M711" s="11" t="s">
        <v>50</v>
      </c>
      <c r="N711" s="11" t="s">
        <v>173</v>
      </c>
      <c r="O711" s="11" t="s">
        <v>818</v>
      </c>
    </row>
    <row r="712" spans="12:15">
      <c r="L712" s="48">
        <v>707</v>
      </c>
      <c r="M712" s="11" t="s">
        <v>110</v>
      </c>
      <c r="N712" s="11" t="s">
        <v>28</v>
      </c>
      <c r="O712" s="11" t="s">
        <v>819</v>
      </c>
    </row>
    <row r="713" spans="12:15">
      <c r="L713" s="48">
        <v>708</v>
      </c>
      <c r="M713" s="11" t="s">
        <v>124</v>
      </c>
      <c r="N713" s="11" t="s">
        <v>28</v>
      </c>
      <c r="O713" s="11" t="s">
        <v>820</v>
      </c>
    </row>
    <row r="714" spans="12:15">
      <c r="L714" s="48">
        <v>709</v>
      </c>
      <c r="M714" s="11" t="s">
        <v>130</v>
      </c>
      <c r="N714" s="11" t="s">
        <v>80</v>
      </c>
      <c r="O714" s="11" t="s">
        <v>821</v>
      </c>
    </row>
    <row r="715" spans="12:15">
      <c r="L715" s="48">
        <v>710</v>
      </c>
      <c r="M715" s="11" t="s">
        <v>22</v>
      </c>
      <c r="N715" s="11" t="s">
        <v>17</v>
      </c>
      <c r="O715" s="11" t="s">
        <v>822</v>
      </c>
    </row>
    <row r="716" spans="12:15">
      <c r="L716" s="48">
        <v>711</v>
      </c>
      <c r="M716" s="11" t="s">
        <v>38</v>
      </c>
      <c r="N716" s="11" t="s">
        <v>429</v>
      </c>
      <c r="O716" s="11" t="s">
        <v>823</v>
      </c>
    </row>
    <row r="717" spans="12:15">
      <c r="L717" s="48">
        <v>712</v>
      </c>
      <c r="M717" s="11" t="s">
        <v>87</v>
      </c>
      <c r="N717" s="11" t="s">
        <v>212</v>
      </c>
      <c r="O717" s="11" t="s">
        <v>824</v>
      </c>
    </row>
    <row r="718" spans="12:15">
      <c r="L718" s="48">
        <v>713</v>
      </c>
      <c r="M718" s="11" t="s">
        <v>110</v>
      </c>
      <c r="N718" s="11" t="s">
        <v>147</v>
      </c>
      <c r="O718" s="11" t="s">
        <v>825</v>
      </c>
    </row>
    <row r="719" spans="12:15">
      <c r="L719" s="48">
        <v>714</v>
      </c>
      <c r="M719" s="11" t="s">
        <v>226</v>
      </c>
      <c r="N719" s="11" t="s">
        <v>80</v>
      </c>
      <c r="O719" s="11" t="s">
        <v>826</v>
      </c>
    </row>
    <row r="720" spans="12:15">
      <c r="L720" s="48">
        <v>715</v>
      </c>
      <c r="M720" s="11" t="s">
        <v>64</v>
      </c>
      <c r="N720" s="11" t="s">
        <v>28</v>
      </c>
      <c r="O720" s="11" t="s">
        <v>827</v>
      </c>
    </row>
    <row r="721" spans="12:15">
      <c r="L721" s="48">
        <v>716</v>
      </c>
      <c r="M721" s="11" t="s">
        <v>38</v>
      </c>
      <c r="N721" s="11" t="s">
        <v>54</v>
      </c>
      <c r="O721" s="11" t="s">
        <v>828</v>
      </c>
    </row>
    <row r="722" spans="12:15">
      <c r="L722" s="48">
        <v>717</v>
      </c>
      <c r="M722" s="11" t="s">
        <v>176</v>
      </c>
      <c r="N722" s="11" t="s">
        <v>61</v>
      </c>
      <c r="O722" s="11" t="s">
        <v>829</v>
      </c>
    </row>
    <row r="723" spans="12:15">
      <c r="L723" s="48">
        <v>718</v>
      </c>
      <c r="M723" s="11" t="s">
        <v>263</v>
      </c>
      <c r="N723" s="11" t="s">
        <v>122</v>
      </c>
      <c r="O723" s="11" t="s">
        <v>830</v>
      </c>
    </row>
    <row r="724" spans="12:15">
      <c r="L724" s="48">
        <v>719</v>
      </c>
      <c r="M724" s="11" t="s">
        <v>32</v>
      </c>
      <c r="N724" s="11" t="s">
        <v>26</v>
      </c>
      <c r="O724" s="11" t="s">
        <v>831</v>
      </c>
    </row>
    <row r="725" spans="12:15">
      <c r="L725" s="48">
        <v>720</v>
      </c>
      <c r="M725" s="11" t="s">
        <v>169</v>
      </c>
      <c r="N725" s="11" t="s">
        <v>212</v>
      </c>
      <c r="O725" s="11" t="s">
        <v>832</v>
      </c>
    </row>
    <row r="726" spans="12:15">
      <c r="L726" s="48">
        <v>721</v>
      </c>
      <c r="M726" s="11" t="s">
        <v>130</v>
      </c>
      <c r="N726" s="11" t="s">
        <v>51</v>
      </c>
      <c r="O726" s="11" t="s">
        <v>833</v>
      </c>
    </row>
    <row r="727" spans="12:15">
      <c r="L727" s="48">
        <v>722</v>
      </c>
      <c r="M727" s="11" t="s">
        <v>44</v>
      </c>
      <c r="N727" s="11" t="s">
        <v>36</v>
      </c>
      <c r="O727" s="11" t="s">
        <v>834</v>
      </c>
    </row>
    <row r="728" spans="12:15">
      <c r="L728" s="48">
        <v>723</v>
      </c>
      <c r="M728" s="11" t="s">
        <v>44</v>
      </c>
      <c r="N728" s="11" t="s">
        <v>401</v>
      </c>
      <c r="O728" s="11" t="s">
        <v>835</v>
      </c>
    </row>
    <row r="729" spans="12:15">
      <c r="L729" s="48">
        <v>724</v>
      </c>
      <c r="M729" s="11" t="s">
        <v>77</v>
      </c>
      <c r="N729" s="11" t="s">
        <v>111</v>
      </c>
      <c r="O729" s="11" t="s">
        <v>836</v>
      </c>
    </row>
    <row r="730" spans="12:15">
      <c r="L730" s="48">
        <v>725</v>
      </c>
      <c r="M730" s="11" t="s">
        <v>77</v>
      </c>
      <c r="N730" s="11" t="s">
        <v>105</v>
      </c>
      <c r="O730" s="11" t="s">
        <v>837</v>
      </c>
    </row>
    <row r="731" spans="12:15">
      <c r="L731" s="48">
        <v>726</v>
      </c>
      <c r="M731" s="11" t="s">
        <v>203</v>
      </c>
      <c r="N731" s="11" t="s">
        <v>212</v>
      </c>
      <c r="O731" s="11" t="s">
        <v>838</v>
      </c>
    </row>
    <row r="732" spans="12:15">
      <c r="L732" s="48">
        <v>727</v>
      </c>
      <c r="M732" s="11" t="s">
        <v>299</v>
      </c>
      <c r="N732" s="11" t="s">
        <v>42</v>
      </c>
      <c r="O732" s="11" t="s">
        <v>839</v>
      </c>
    </row>
    <row r="733" spans="12:15">
      <c r="L733" s="48">
        <v>728</v>
      </c>
      <c r="M733" s="11" t="s">
        <v>210</v>
      </c>
      <c r="N733" s="11" t="s">
        <v>145</v>
      </c>
      <c r="O733" s="11" t="s">
        <v>840</v>
      </c>
    </row>
    <row r="734" spans="12:15">
      <c r="L734" s="48">
        <v>729</v>
      </c>
      <c r="M734" s="11" t="s">
        <v>13</v>
      </c>
      <c r="N734" s="11" t="s">
        <v>212</v>
      </c>
      <c r="O734" s="11" t="s">
        <v>841</v>
      </c>
    </row>
    <row r="735" spans="12:15">
      <c r="L735" s="48">
        <v>730</v>
      </c>
      <c r="M735" s="11" t="s">
        <v>67</v>
      </c>
      <c r="N735" s="11" t="s">
        <v>125</v>
      </c>
      <c r="O735" s="11" t="s">
        <v>842</v>
      </c>
    </row>
    <row r="736" spans="12:15">
      <c r="L736" s="48">
        <v>731</v>
      </c>
      <c r="M736" s="11" t="s">
        <v>77</v>
      </c>
      <c r="N736" s="11" t="s">
        <v>179</v>
      </c>
      <c r="O736" s="11" t="s">
        <v>843</v>
      </c>
    </row>
    <row r="737" spans="12:15">
      <c r="L737" s="48">
        <v>732</v>
      </c>
      <c r="M737" s="11" t="s">
        <v>35</v>
      </c>
      <c r="N737" s="11" t="s">
        <v>204</v>
      </c>
      <c r="O737" s="11" t="s">
        <v>844</v>
      </c>
    </row>
    <row r="738" spans="12:15">
      <c r="L738" s="48">
        <v>733</v>
      </c>
      <c r="M738" s="11" t="s">
        <v>187</v>
      </c>
      <c r="N738" s="11" t="s">
        <v>193</v>
      </c>
      <c r="O738" s="11" t="s">
        <v>845</v>
      </c>
    </row>
    <row r="739" spans="12:15">
      <c r="L739" s="48">
        <v>734</v>
      </c>
      <c r="M739" s="11" t="s">
        <v>160</v>
      </c>
      <c r="N739" s="11" t="s">
        <v>98</v>
      </c>
      <c r="O739" s="11" t="s">
        <v>846</v>
      </c>
    </row>
    <row r="740" spans="12:15">
      <c r="L740" s="48">
        <v>735</v>
      </c>
      <c r="M740" s="11" t="s">
        <v>293</v>
      </c>
      <c r="N740" s="11" t="s">
        <v>28</v>
      </c>
      <c r="O740" s="11" t="s">
        <v>847</v>
      </c>
    </row>
    <row r="741" spans="12:15">
      <c r="L741" s="48">
        <v>736</v>
      </c>
      <c r="M741" s="11" t="s">
        <v>77</v>
      </c>
      <c r="N741" s="11" t="s">
        <v>96</v>
      </c>
      <c r="O741" s="11" t="s">
        <v>848</v>
      </c>
    </row>
    <row r="742" spans="12:15">
      <c r="L742" s="48">
        <v>737</v>
      </c>
      <c r="M742" s="11" t="s">
        <v>263</v>
      </c>
      <c r="N742" s="11" t="s">
        <v>51</v>
      </c>
      <c r="O742" s="11" t="s">
        <v>849</v>
      </c>
    </row>
    <row r="743" spans="12:15">
      <c r="L743" s="48">
        <v>738</v>
      </c>
      <c r="M743" s="11" t="s">
        <v>16</v>
      </c>
      <c r="N743" s="11" t="s">
        <v>45</v>
      </c>
      <c r="O743" s="11" t="s">
        <v>850</v>
      </c>
    </row>
    <row r="744" spans="12:15">
      <c r="L744" s="48">
        <v>739</v>
      </c>
      <c r="M744" s="11" t="s">
        <v>141</v>
      </c>
      <c r="N744" s="11" t="s">
        <v>111</v>
      </c>
      <c r="O744" s="11" t="s">
        <v>851</v>
      </c>
    </row>
    <row r="745" spans="12:15">
      <c r="L745" s="48">
        <v>740</v>
      </c>
      <c r="M745" s="11" t="s">
        <v>210</v>
      </c>
      <c r="N745" s="11" t="s">
        <v>39</v>
      </c>
      <c r="O745" s="11" t="s">
        <v>852</v>
      </c>
    </row>
    <row r="746" spans="12:15">
      <c r="L746" s="48">
        <v>741</v>
      </c>
      <c r="M746" s="11" t="s">
        <v>69</v>
      </c>
      <c r="N746" s="11" t="s">
        <v>85</v>
      </c>
      <c r="O746" s="11" t="s">
        <v>853</v>
      </c>
    </row>
    <row r="747" spans="12:15">
      <c r="L747" s="48">
        <v>742</v>
      </c>
      <c r="M747" s="11" t="s">
        <v>187</v>
      </c>
      <c r="N747" s="11" t="s">
        <v>83</v>
      </c>
      <c r="O747" s="11" t="s">
        <v>854</v>
      </c>
    </row>
    <row r="748" spans="12:15">
      <c r="L748" s="48">
        <v>743</v>
      </c>
      <c r="M748" s="11" t="s">
        <v>30</v>
      </c>
      <c r="N748" s="11" t="s">
        <v>179</v>
      </c>
      <c r="O748" s="11" t="s">
        <v>855</v>
      </c>
    </row>
    <row r="749" spans="12:15">
      <c r="L749" s="48">
        <v>744</v>
      </c>
      <c r="M749" s="11" t="s">
        <v>77</v>
      </c>
      <c r="N749" s="11" t="s">
        <v>28</v>
      </c>
      <c r="O749" s="11" t="s">
        <v>856</v>
      </c>
    </row>
    <row r="750" spans="12:15">
      <c r="L750" s="48">
        <v>745</v>
      </c>
      <c r="M750" s="11" t="s">
        <v>130</v>
      </c>
      <c r="N750" s="11" t="s">
        <v>65</v>
      </c>
      <c r="O750" s="11" t="s">
        <v>857</v>
      </c>
    </row>
    <row r="751" spans="12:15">
      <c r="L751" s="48">
        <v>746</v>
      </c>
      <c r="M751" s="11" t="s">
        <v>82</v>
      </c>
      <c r="N751" s="11" t="s">
        <v>33</v>
      </c>
      <c r="O751" s="11" t="s">
        <v>858</v>
      </c>
    </row>
    <row r="752" spans="12:15">
      <c r="L752" s="48">
        <v>747</v>
      </c>
      <c r="M752" s="11" t="s">
        <v>169</v>
      </c>
      <c r="N752" s="11" t="s">
        <v>96</v>
      </c>
      <c r="O752" s="11" t="s">
        <v>859</v>
      </c>
    </row>
    <row r="753" spans="12:15">
      <c r="L753" s="48">
        <v>748</v>
      </c>
      <c r="M753" s="11" t="s">
        <v>71</v>
      </c>
      <c r="N753" s="11" t="s">
        <v>78</v>
      </c>
      <c r="O753" s="11" t="s">
        <v>860</v>
      </c>
    </row>
    <row r="754" spans="12:15">
      <c r="L754" s="48">
        <v>749</v>
      </c>
      <c r="M754" s="11" t="s">
        <v>263</v>
      </c>
      <c r="N754" s="11" t="s">
        <v>39</v>
      </c>
      <c r="O754" s="11" t="s">
        <v>861</v>
      </c>
    </row>
    <row r="755" spans="12:15">
      <c r="L755" s="48">
        <v>750</v>
      </c>
      <c r="M755" s="11" t="s">
        <v>263</v>
      </c>
      <c r="N755" s="11" t="s">
        <v>51</v>
      </c>
      <c r="O755" s="11" t="s">
        <v>862</v>
      </c>
    </row>
    <row r="756" spans="12:15">
      <c r="L756" s="48">
        <v>751</v>
      </c>
      <c r="M756" s="11" t="s">
        <v>56</v>
      </c>
      <c r="N756" s="11" t="s">
        <v>122</v>
      </c>
      <c r="O756" s="11" t="s">
        <v>863</v>
      </c>
    </row>
    <row r="757" spans="12:15">
      <c r="L757" s="48">
        <v>752</v>
      </c>
      <c r="M757" s="11" t="s">
        <v>141</v>
      </c>
      <c r="N757" s="11" t="s">
        <v>45</v>
      </c>
      <c r="O757" s="11" t="s">
        <v>864</v>
      </c>
    </row>
    <row r="758" spans="12:15">
      <c r="L758" s="48">
        <v>753</v>
      </c>
      <c r="M758" s="11" t="s">
        <v>50</v>
      </c>
      <c r="N758" s="11" t="s">
        <v>36</v>
      </c>
      <c r="O758" s="11" t="s">
        <v>865</v>
      </c>
    </row>
    <row r="759" spans="12:15">
      <c r="L759" s="48">
        <v>754</v>
      </c>
      <c r="M759" s="11" t="s">
        <v>90</v>
      </c>
      <c r="N759" s="11" t="s">
        <v>204</v>
      </c>
      <c r="O759" s="11" t="s">
        <v>866</v>
      </c>
    </row>
    <row r="760" spans="12:15">
      <c r="L760" s="48">
        <v>755</v>
      </c>
      <c r="M760" s="11" t="s">
        <v>35</v>
      </c>
      <c r="N760" s="11" t="s">
        <v>78</v>
      </c>
      <c r="O760" s="11" t="s">
        <v>867</v>
      </c>
    </row>
    <row r="761" spans="12:15">
      <c r="L761" s="48">
        <v>756</v>
      </c>
      <c r="M761" s="11" t="s">
        <v>19</v>
      </c>
      <c r="N761" s="11" t="s">
        <v>105</v>
      </c>
      <c r="O761" s="11" t="s">
        <v>868</v>
      </c>
    </row>
    <row r="762" spans="12:15">
      <c r="L762" s="48">
        <v>757</v>
      </c>
      <c r="M762" s="11" t="s">
        <v>316</v>
      </c>
      <c r="N762" s="11" t="s">
        <v>135</v>
      </c>
      <c r="O762" s="11" t="s">
        <v>869</v>
      </c>
    </row>
    <row r="763" spans="12:15">
      <c r="L763" s="48">
        <v>758</v>
      </c>
      <c r="M763" s="11" t="s">
        <v>124</v>
      </c>
      <c r="N763" s="11" t="s">
        <v>108</v>
      </c>
      <c r="O763" s="11" t="s">
        <v>870</v>
      </c>
    </row>
    <row r="764" spans="12:15">
      <c r="L764" s="48">
        <v>759</v>
      </c>
      <c r="M764" s="11" t="s">
        <v>110</v>
      </c>
      <c r="N764" s="11" t="s">
        <v>88</v>
      </c>
      <c r="O764" s="11" t="s">
        <v>871</v>
      </c>
    </row>
    <row r="765" spans="12:15">
      <c r="L765" s="48">
        <v>760</v>
      </c>
      <c r="M765" s="11" t="s">
        <v>158</v>
      </c>
      <c r="N765" s="11" t="s">
        <v>179</v>
      </c>
      <c r="O765" s="11" t="s">
        <v>872</v>
      </c>
    </row>
    <row r="766" spans="12:15">
      <c r="L766" s="48">
        <v>761</v>
      </c>
      <c r="M766" s="11" t="s">
        <v>226</v>
      </c>
      <c r="N766" s="11" t="s">
        <v>75</v>
      </c>
      <c r="O766" s="11" t="s">
        <v>873</v>
      </c>
    </row>
    <row r="767" spans="12:15">
      <c r="L767" s="48">
        <v>762</v>
      </c>
      <c r="M767" s="11" t="s">
        <v>30</v>
      </c>
      <c r="N767" s="11" t="s">
        <v>28</v>
      </c>
      <c r="O767" s="11" t="s">
        <v>874</v>
      </c>
    </row>
    <row r="768" spans="12:15">
      <c r="L768" s="48">
        <v>763</v>
      </c>
      <c r="M768" s="11" t="s">
        <v>87</v>
      </c>
      <c r="N768" s="11" t="s">
        <v>14</v>
      </c>
      <c r="O768" s="11" t="s">
        <v>875</v>
      </c>
    </row>
    <row r="769" spans="12:15">
      <c r="L769" s="48">
        <v>764</v>
      </c>
      <c r="M769" s="11" t="s">
        <v>158</v>
      </c>
      <c r="N769" s="11" t="s">
        <v>51</v>
      </c>
      <c r="O769" s="11" t="s">
        <v>876</v>
      </c>
    </row>
    <row r="770" spans="12:15">
      <c r="L770" s="48">
        <v>765</v>
      </c>
      <c r="M770" s="11" t="s">
        <v>67</v>
      </c>
      <c r="N770" s="11" t="s">
        <v>153</v>
      </c>
      <c r="O770" s="11" t="s">
        <v>877</v>
      </c>
    </row>
    <row r="771" spans="12:15">
      <c r="L771" s="48">
        <v>766</v>
      </c>
      <c r="M771" s="11" t="s">
        <v>25</v>
      </c>
      <c r="N771" s="11" t="s">
        <v>23</v>
      </c>
      <c r="O771" s="11" t="s">
        <v>878</v>
      </c>
    </row>
    <row r="772" spans="12:15">
      <c r="L772" s="48">
        <v>767</v>
      </c>
      <c r="M772" s="11" t="s">
        <v>90</v>
      </c>
      <c r="N772" s="11" t="s">
        <v>14</v>
      </c>
      <c r="O772" s="11" t="s">
        <v>879</v>
      </c>
    </row>
    <row r="773" spans="12:15">
      <c r="L773" s="48">
        <v>768</v>
      </c>
      <c r="M773" s="11" t="s">
        <v>160</v>
      </c>
      <c r="N773" s="11" t="s">
        <v>145</v>
      </c>
      <c r="O773" s="11" t="s">
        <v>880</v>
      </c>
    </row>
    <row r="774" spans="12:15">
      <c r="L774" s="48">
        <v>769</v>
      </c>
      <c r="M774" s="11" t="s">
        <v>71</v>
      </c>
      <c r="N774" s="11" t="s">
        <v>135</v>
      </c>
      <c r="O774" s="11" t="s">
        <v>881</v>
      </c>
    </row>
    <row r="775" spans="12:15">
      <c r="L775" s="48">
        <v>770</v>
      </c>
      <c r="M775" s="11" t="s">
        <v>116</v>
      </c>
      <c r="N775" s="11" t="s">
        <v>85</v>
      </c>
      <c r="O775" s="11" t="s">
        <v>882</v>
      </c>
    </row>
    <row r="776" spans="12:15">
      <c r="L776" s="48">
        <v>771</v>
      </c>
      <c r="M776" s="11" t="s">
        <v>67</v>
      </c>
      <c r="N776" s="11" t="s">
        <v>193</v>
      </c>
      <c r="O776" s="11" t="s">
        <v>883</v>
      </c>
    </row>
    <row r="777" spans="12:15">
      <c r="L777" s="48">
        <v>772</v>
      </c>
      <c r="M777" s="11" t="s">
        <v>67</v>
      </c>
      <c r="N777" s="11" t="s">
        <v>212</v>
      </c>
      <c r="O777" s="11" t="s">
        <v>884</v>
      </c>
    </row>
    <row r="778" spans="12:15">
      <c r="L778" s="48">
        <v>773</v>
      </c>
      <c r="M778" s="11" t="s">
        <v>95</v>
      </c>
      <c r="N778" s="11" t="s">
        <v>73</v>
      </c>
      <c r="O778" s="11" t="s">
        <v>885</v>
      </c>
    </row>
    <row r="779" spans="12:15">
      <c r="L779" s="48">
        <v>774</v>
      </c>
      <c r="M779" s="11" t="s">
        <v>38</v>
      </c>
      <c r="N779" s="11" t="s">
        <v>181</v>
      </c>
      <c r="O779" s="11" t="s">
        <v>886</v>
      </c>
    </row>
    <row r="780" spans="12:15">
      <c r="L780" s="48">
        <v>775</v>
      </c>
      <c r="M780" s="11" t="s">
        <v>226</v>
      </c>
      <c r="N780" s="11" t="s">
        <v>401</v>
      </c>
      <c r="O780" s="11" t="s">
        <v>887</v>
      </c>
    </row>
    <row r="781" spans="12:15">
      <c r="L781" s="48">
        <v>776</v>
      </c>
      <c r="M781" s="11" t="s">
        <v>107</v>
      </c>
      <c r="N781" s="11" t="s">
        <v>61</v>
      </c>
      <c r="O781" s="11" t="s">
        <v>888</v>
      </c>
    </row>
    <row r="782" spans="12:15">
      <c r="L782" s="48">
        <v>777</v>
      </c>
      <c r="M782" s="11" t="s">
        <v>130</v>
      </c>
      <c r="N782" s="11" t="s">
        <v>61</v>
      </c>
      <c r="O782" s="11" t="s">
        <v>889</v>
      </c>
    </row>
    <row r="783" spans="12:15">
      <c r="L783" s="48">
        <v>778</v>
      </c>
      <c r="M783" s="11" t="s">
        <v>116</v>
      </c>
      <c r="N783" s="11" t="s">
        <v>127</v>
      </c>
      <c r="O783" s="11" t="s">
        <v>890</v>
      </c>
    </row>
    <row r="784" spans="12:15">
      <c r="L784" s="48">
        <v>779</v>
      </c>
      <c r="M784" s="11" t="s">
        <v>22</v>
      </c>
      <c r="N784" s="11" t="s">
        <v>212</v>
      </c>
      <c r="O784" s="11" t="s">
        <v>891</v>
      </c>
    </row>
    <row r="785" spans="12:15">
      <c r="L785" s="48">
        <v>780</v>
      </c>
      <c r="M785" s="11" t="s">
        <v>187</v>
      </c>
      <c r="N785" s="11" t="s">
        <v>142</v>
      </c>
      <c r="O785" s="11" t="s">
        <v>892</v>
      </c>
    </row>
    <row r="786" spans="12:15">
      <c r="L786" s="48">
        <v>781</v>
      </c>
      <c r="M786" s="11" t="s">
        <v>47</v>
      </c>
      <c r="N786" s="11" t="s">
        <v>28</v>
      </c>
      <c r="O786" s="11" t="s">
        <v>893</v>
      </c>
    </row>
    <row r="787" spans="12:15">
      <c r="L787" s="48">
        <v>782</v>
      </c>
      <c r="M787" s="11" t="s">
        <v>263</v>
      </c>
      <c r="N787" s="11" t="s">
        <v>39</v>
      </c>
      <c r="O787" s="11" t="s">
        <v>894</v>
      </c>
    </row>
    <row r="788" spans="12:15">
      <c r="L788" s="48">
        <v>783</v>
      </c>
      <c r="M788" s="11" t="s">
        <v>47</v>
      </c>
      <c r="N788" s="11" t="s">
        <v>125</v>
      </c>
      <c r="O788" s="11" t="s">
        <v>895</v>
      </c>
    </row>
    <row r="789" spans="12:15">
      <c r="L789" s="48">
        <v>784</v>
      </c>
      <c r="M789" s="11" t="s">
        <v>203</v>
      </c>
      <c r="N789" s="11" t="s">
        <v>42</v>
      </c>
      <c r="O789" s="11" t="s">
        <v>896</v>
      </c>
    </row>
    <row r="790" spans="12:15">
      <c r="L790" s="48">
        <v>785</v>
      </c>
      <c r="M790" s="11" t="s">
        <v>187</v>
      </c>
      <c r="N790" s="11" t="s">
        <v>138</v>
      </c>
      <c r="O790" s="11" t="s">
        <v>897</v>
      </c>
    </row>
    <row r="791" spans="12:15">
      <c r="L791" s="48">
        <v>786</v>
      </c>
      <c r="M791" s="11" t="s">
        <v>226</v>
      </c>
      <c r="N791" s="11" t="s">
        <v>36</v>
      </c>
      <c r="O791" s="11" t="s">
        <v>898</v>
      </c>
    </row>
    <row r="792" spans="12:15">
      <c r="L792" s="48">
        <v>787</v>
      </c>
      <c r="M792" s="11" t="s">
        <v>293</v>
      </c>
      <c r="N792" s="11" t="s">
        <v>93</v>
      </c>
      <c r="O792" s="11" t="s">
        <v>899</v>
      </c>
    </row>
    <row r="793" spans="12:15">
      <c r="L793" s="48">
        <v>788</v>
      </c>
      <c r="M793" s="11" t="s">
        <v>19</v>
      </c>
      <c r="N793" s="11" t="s">
        <v>401</v>
      </c>
      <c r="O793" s="11" t="s">
        <v>900</v>
      </c>
    </row>
    <row r="794" spans="12:15">
      <c r="L794" s="48">
        <v>789</v>
      </c>
      <c r="M794" s="11" t="s">
        <v>166</v>
      </c>
      <c r="N794" s="11" t="s">
        <v>105</v>
      </c>
      <c r="O794" s="11" t="s">
        <v>901</v>
      </c>
    </row>
    <row r="795" spans="12:15">
      <c r="L795" s="48">
        <v>790</v>
      </c>
      <c r="M795" s="11" t="s">
        <v>53</v>
      </c>
      <c r="N795" s="11" t="s">
        <v>111</v>
      </c>
      <c r="O795" s="11" t="s">
        <v>902</v>
      </c>
    </row>
    <row r="796" spans="12:15">
      <c r="L796" s="48">
        <v>791</v>
      </c>
      <c r="M796" s="11" t="s">
        <v>226</v>
      </c>
      <c r="N796" s="11" t="s">
        <v>83</v>
      </c>
      <c r="O796" s="11" t="s">
        <v>903</v>
      </c>
    </row>
    <row r="797" spans="12:15">
      <c r="L797" s="48">
        <v>792</v>
      </c>
      <c r="M797" s="11" t="s">
        <v>166</v>
      </c>
      <c r="N797" s="11" t="s">
        <v>51</v>
      </c>
      <c r="O797" s="11" t="s">
        <v>904</v>
      </c>
    </row>
    <row r="798" spans="12:15">
      <c r="L798" s="48">
        <v>793</v>
      </c>
      <c r="M798" s="11" t="s">
        <v>293</v>
      </c>
      <c r="N798" s="11" t="s">
        <v>145</v>
      </c>
      <c r="O798" s="11" t="s">
        <v>905</v>
      </c>
    </row>
    <row r="799" spans="12:15">
      <c r="L799" s="48">
        <v>794</v>
      </c>
      <c r="M799" s="11" t="s">
        <v>203</v>
      </c>
      <c r="N799" s="11" t="s">
        <v>61</v>
      </c>
      <c r="O799" s="11" t="s">
        <v>906</v>
      </c>
    </row>
    <row r="800" spans="12:15">
      <c r="L800" s="48">
        <v>795</v>
      </c>
      <c r="M800" s="11" t="s">
        <v>25</v>
      </c>
      <c r="N800" s="11" t="s">
        <v>181</v>
      </c>
      <c r="O800" s="11" t="s">
        <v>907</v>
      </c>
    </row>
    <row r="801" spans="12:15">
      <c r="L801" s="48">
        <v>796</v>
      </c>
      <c r="M801" s="11" t="s">
        <v>169</v>
      </c>
      <c r="N801" s="11" t="s">
        <v>135</v>
      </c>
      <c r="O801" s="11" t="s">
        <v>908</v>
      </c>
    </row>
    <row r="802" spans="12:15">
      <c r="L802" s="48">
        <v>797</v>
      </c>
      <c r="M802" s="11" t="s">
        <v>141</v>
      </c>
      <c r="N802" s="11" t="s">
        <v>54</v>
      </c>
      <c r="O802" s="11" t="s">
        <v>909</v>
      </c>
    </row>
    <row r="803" spans="12:15">
      <c r="L803" s="48">
        <v>798</v>
      </c>
      <c r="M803" s="11" t="s">
        <v>38</v>
      </c>
      <c r="N803" s="11" t="s">
        <v>204</v>
      </c>
      <c r="O803" s="11" t="s">
        <v>910</v>
      </c>
    </row>
    <row r="804" spans="12:15">
      <c r="L804" s="48">
        <v>799</v>
      </c>
      <c r="M804" s="11" t="s">
        <v>133</v>
      </c>
      <c r="N804" s="11" t="s">
        <v>138</v>
      </c>
      <c r="O804" s="11" t="s">
        <v>911</v>
      </c>
    </row>
    <row r="805" spans="12:15">
      <c r="L805" s="48">
        <v>800</v>
      </c>
      <c r="M805" s="11" t="s">
        <v>169</v>
      </c>
      <c r="N805" s="11" t="s">
        <v>14</v>
      </c>
      <c r="O805" s="11" t="s">
        <v>912</v>
      </c>
    </row>
    <row r="806" spans="12:15">
      <c r="L806" s="48">
        <v>801</v>
      </c>
      <c r="M806" s="11" t="s">
        <v>95</v>
      </c>
      <c r="N806" s="11" t="s">
        <v>145</v>
      </c>
      <c r="O806" s="11" t="s">
        <v>913</v>
      </c>
    </row>
    <row r="807" spans="12:15">
      <c r="L807" s="48">
        <v>802</v>
      </c>
      <c r="M807" s="11" t="s">
        <v>110</v>
      </c>
      <c r="N807" s="11" t="s">
        <v>14</v>
      </c>
      <c r="O807" s="11" t="s">
        <v>914</v>
      </c>
    </row>
    <row r="808" spans="12:15">
      <c r="L808" s="48">
        <v>803</v>
      </c>
      <c r="M808" s="11" t="s">
        <v>64</v>
      </c>
      <c r="N808" s="11" t="s">
        <v>145</v>
      </c>
      <c r="O808" s="11" t="s">
        <v>915</v>
      </c>
    </row>
    <row r="809" spans="12:15">
      <c r="L809" s="48">
        <v>804</v>
      </c>
      <c r="M809" s="11" t="s">
        <v>299</v>
      </c>
      <c r="N809" s="11" t="s">
        <v>88</v>
      </c>
      <c r="O809" s="11" t="s">
        <v>916</v>
      </c>
    </row>
    <row r="810" spans="12:15">
      <c r="L810" s="48">
        <v>805</v>
      </c>
      <c r="M810" s="11" t="s">
        <v>121</v>
      </c>
      <c r="N810" s="11" t="s">
        <v>26</v>
      </c>
      <c r="O810" s="11" t="s">
        <v>917</v>
      </c>
    </row>
    <row r="811" spans="12:15">
      <c r="L811" s="48">
        <v>806</v>
      </c>
      <c r="M811" s="11" t="s">
        <v>69</v>
      </c>
      <c r="N811" s="11" t="s">
        <v>108</v>
      </c>
      <c r="O811" s="11" t="s">
        <v>918</v>
      </c>
    </row>
    <row r="812" spans="12:15">
      <c r="L812" s="48">
        <v>807</v>
      </c>
      <c r="M812" s="11" t="s">
        <v>77</v>
      </c>
      <c r="N812" s="11" t="s">
        <v>88</v>
      </c>
      <c r="O812" s="11" t="s">
        <v>919</v>
      </c>
    </row>
    <row r="813" spans="12:15">
      <c r="L813" s="48">
        <v>808</v>
      </c>
      <c r="M813" s="11" t="s">
        <v>77</v>
      </c>
      <c r="N813" s="11" t="s">
        <v>65</v>
      </c>
      <c r="O813" s="11" t="s">
        <v>920</v>
      </c>
    </row>
    <row r="814" spans="12:15">
      <c r="L814" s="48">
        <v>809</v>
      </c>
      <c r="M814" s="11" t="s">
        <v>77</v>
      </c>
      <c r="N814" s="11" t="s">
        <v>401</v>
      </c>
      <c r="O814" s="11" t="s">
        <v>921</v>
      </c>
    </row>
    <row r="815" spans="12:15">
      <c r="L815" s="48">
        <v>810</v>
      </c>
      <c r="M815" s="11" t="s">
        <v>118</v>
      </c>
      <c r="N815" s="11" t="s">
        <v>14</v>
      </c>
      <c r="O815" s="11" t="s">
        <v>922</v>
      </c>
    </row>
    <row r="816" spans="12:15">
      <c r="L816" s="48">
        <v>811</v>
      </c>
      <c r="M816" s="11" t="s">
        <v>229</v>
      </c>
      <c r="N816" s="11" t="s">
        <v>105</v>
      </c>
      <c r="O816" s="11" t="s">
        <v>923</v>
      </c>
    </row>
    <row r="817" spans="12:15">
      <c r="L817" s="48">
        <v>812</v>
      </c>
      <c r="M817" s="11" t="s">
        <v>160</v>
      </c>
      <c r="N817" s="11" t="s">
        <v>80</v>
      </c>
      <c r="O817" s="11" t="s">
        <v>924</v>
      </c>
    </row>
    <row r="818" spans="12:15">
      <c r="L818" s="48">
        <v>813</v>
      </c>
      <c r="M818" s="11" t="s">
        <v>293</v>
      </c>
      <c r="N818" s="11" t="s">
        <v>54</v>
      </c>
      <c r="O818" s="11" t="s">
        <v>925</v>
      </c>
    </row>
    <row r="819" spans="12:15">
      <c r="L819" s="48">
        <v>814</v>
      </c>
      <c r="M819" s="11" t="s">
        <v>30</v>
      </c>
      <c r="N819" s="11" t="s">
        <v>14</v>
      </c>
      <c r="O819" s="11" t="s">
        <v>926</v>
      </c>
    </row>
    <row r="820" spans="12:15">
      <c r="L820" s="48">
        <v>815</v>
      </c>
      <c r="M820" s="11" t="s">
        <v>82</v>
      </c>
      <c r="N820" s="11" t="s">
        <v>51</v>
      </c>
      <c r="O820" s="11" t="s">
        <v>927</v>
      </c>
    </row>
    <row r="821" spans="12:15">
      <c r="L821" s="48">
        <v>816</v>
      </c>
      <c r="M821" s="11" t="s">
        <v>141</v>
      </c>
      <c r="N821" s="11" t="s">
        <v>147</v>
      </c>
      <c r="O821" s="11" t="s">
        <v>928</v>
      </c>
    </row>
    <row r="822" spans="12:15">
      <c r="L822" s="48">
        <v>817</v>
      </c>
      <c r="M822" s="11" t="s">
        <v>50</v>
      </c>
      <c r="N822" s="11" t="s">
        <v>127</v>
      </c>
      <c r="O822" s="11" t="s">
        <v>929</v>
      </c>
    </row>
    <row r="823" spans="12:15">
      <c r="L823" s="48">
        <v>818</v>
      </c>
      <c r="M823" s="11" t="s">
        <v>13</v>
      </c>
      <c r="N823" s="11" t="s">
        <v>45</v>
      </c>
      <c r="O823" s="11" t="s">
        <v>930</v>
      </c>
    </row>
    <row r="824" spans="12:15">
      <c r="L824" s="48">
        <v>819</v>
      </c>
      <c r="M824" s="11" t="s">
        <v>210</v>
      </c>
      <c r="N824" s="11" t="s">
        <v>26</v>
      </c>
      <c r="O824" s="11" t="s">
        <v>931</v>
      </c>
    </row>
    <row r="825" spans="12:15">
      <c r="L825" s="48">
        <v>820</v>
      </c>
      <c r="M825" s="11" t="s">
        <v>38</v>
      </c>
      <c r="N825" s="11" t="s">
        <v>204</v>
      </c>
      <c r="O825" s="11" t="s">
        <v>932</v>
      </c>
    </row>
    <row r="826" spans="12:15">
      <c r="L826" s="48">
        <v>821</v>
      </c>
      <c r="M826" s="11" t="s">
        <v>16</v>
      </c>
      <c r="N826" s="11" t="s">
        <v>98</v>
      </c>
      <c r="O826" s="11" t="s">
        <v>933</v>
      </c>
    </row>
    <row r="827" spans="12:15">
      <c r="L827" s="48">
        <v>822</v>
      </c>
      <c r="M827" s="11" t="s">
        <v>187</v>
      </c>
      <c r="N827" s="11" t="s">
        <v>96</v>
      </c>
      <c r="O827" s="11" t="s">
        <v>934</v>
      </c>
    </row>
    <row r="828" spans="12:15">
      <c r="L828" s="48">
        <v>823</v>
      </c>
      <c r="M828" s="11" t="s">
        <v>210</v>
      </c>
      <c r="N828" s="11" t="s">
        <v>204</v>
      </c>
      <c r="O828" s="11" t="s">
        <v>935</v>
      </c>
    </row>
    <row r="829" spans="12:15">
      <c r="L829" s="48">
        <v>824</v>
      </c>
      <c r="M829" s="11" t="s">
        <v>293</v>
      </c>
      <c r="N829" s="11" t="s">
        <v>138</v>
      </c>
      <c r="O829" s="11" t="s">
        <v>936</v>
      </c>
    </row>
    <row r="830" spans="12:15">
      <c r="L830" s="48">
        <v>825</v>
      </c>
      <c r="M830" s="11" t="s">
        <v>25</v>
      </c>
      <c r="N830" s="11" t="s">
        <v>39</v>
      </c>
      <c r="O830" s="11" t="s">
        <v>937</v>
      </c>
    </row>
    <row r="831" spans="12:15">
      <c r="L831" s="48">
        <v>826</v>
      </c>
      <c r="M831" s="11" t="s">
        <v>69</v>
      </c>
      <c r="N831" s="11" t="s">
        <v>193</v>
      </c>
      <c r="O831" s="11" t="s">
        <v>938</v>
      </c>
    </row>
    <row r="832" spans="12:15">
      <c r="L832" s="48">
        <v>827</v>
      </c>
      <c r="M832" s="11" t="s">
        <v>35</v>
      </c>
      <c r="N832" s="11" t="s">
        <v>78</v>
      </c>
      <c r="O832" s="11" t="s">
        <v>939</v>
      </c>
    </row>
    <row r="833" spans="12:15">
      <c r="L833" s="48">
        <v>828</v>
      </c>
      <c r="M833" s="11" t="s">
        <v>107</v>
      </c>
      <c r="N833" s="11" t="s">
        <v>96</v>
      </c>
      <c r="O833" s="11" t="s">
        <v>940</v>
      </c>
    </row>
    <row r="834" spans="12:15">
      <c r="L834" s="48">
        <v>829</v>
      </c>
      <c r="M834" s="11" t="s">
        <v>116</v>
      </c>
      <c r="N834" s="11" t="s">
        <v>61</v>
      </c>
      <c r="O834" s="11" t="s">
        <v>941</v>
      </c>
    </row>
    <row r="835" spans="12:15">
      <c r="L835" s="48">
        <v>830</v>
      </c>
      <c r="M835" s="11" t="s">
        <v>32</v>
      </c>
      <c r="N835" s="11" t="s">
        <v>142</v>
      </c>
      <c r="O835" s="11" t="s">
        <v>942</v>
      </c>
    </row>
    <row r="836" spans="12:15">
      <c r="L836" s="48">
        <v>831</v>
      </c>
      <c r="M836" s="11" t="s">
        <v>64</v>
      </c>
      <c r="N836" s="11" t="s">
        <v>125</v>
      </c>
      <c r="O836" s="11" t="s">
        <v>943</v>
      </c>
    </row>
    <row r="837" spans="12:15">
      <c r="L837" s="48">
        <v>832</v>
      </c>
      <c r="M837" s="11" t="s">
        <v>44</v>
      </c>
      <c r="N837" s="11" t="s">
        <v>181</v>
      </c>
      <c r="O837" s="11" t="s">
        <v>944</v>
      </c>
    </row>
    <row r="838" spans="12:15">
      <c r="L838" s="48">
        <v>833</v>
      </c>
      <c r="M838" s="11" t="s">
        <v>69</v>
      </c>
      <c r="N838" s="11" t="s">
        <v>135</v>
      </c>
      <c r="O838" s="11" t="s">
        <v>945</v>
      </c>
    </row>
    <row r="839" spans="12:15">
      <c r="L839" s="48">
        <v>834</v>
      </c>
      <c r="M839" s="11" t="s">
        <v>25</v>
      </c>
      <c r="N839" s="11" t="s">
        <v>51</v>
      </c>
      <c r="O839" s="11" t="s">
        <v>946</v>
      </c>
    </row>
    <row r="840" spans="12:15">
      <c r="L840" s="48">
        <v>835</v>
      </c>
      <c r="M840" s="11" t="s">
        <v>47</v>
      </c>
      <c r="N840" s="11" t="s">
        <v>346</v>
      </c>
      <c r="O840" s="11" t="s">
        <v>947</v>
      </c>
    </row>
    <row r="841" spans="12:15">
      <c r="L841" s="48">
        <v>836</v>
      </c>
      <c r="M841" s="11" t="s">
        <v>90</v>
      </c>
      <c r="N841" s="11" t="s">
        <v>401</v>
      </c>
      <c r="O841" s="11" t="s">
        <v>948</v>
      </c>
    </row>
    <row r="842" spans="12:15">
      <c r="L842" s="48">
        <v>837</v>
      </c>
      <c r="M842" s="11" t="s">
        <v>38</v>
      </c>
      <c r="N842" s="11" t="s">
        <v>75</v>
      </c>
      <c r="O842" s="11" t="s">
        <v>949</v>
      </c>
    </row>
    <row r="843" spans="12:15">
      <c r="L843" s="48">
        <v>838</v>
      </c>
      <c r="M843" s="11" t="s">
        <v>64</v>
      </c>
      <c r="N843" s="11" t="s">
        <v>83</v>
      </c>
      <c r="O843" s="11" t="s">
        <v>950</v>
      </c>
    </row>
    <row r="844" spans="12:15">
      <c r="L844" s="48">
        <v>839</v>
      </c>
      <c r="M844" s="11" t="s">
        <v>226</v>
      </c>
      <c r="N844" s="11" t="s">
        <v>212</v>
      </c>
      <c r="O844" s="11" t="s">
        <v>951</v>
      </c>
    </row>
    <row r="845" spans="12:15">
      <c r="L845" s="48">
        <v>840</v>
      </c>
      <c r="M845" s="11" t="s">
        <v>95</v>
      </c>
      <c r="N845" s="11" t="s">
        <v>96</v>
      </c>
      <c r="O845" s="11" t="s">
        <v>952</v>
      </c>
    </row>
    <row r="846" spans="12:15">
      <c r="L846" s="48">
        <v>841</v>
      </c>
      <c r="M846" s="11" t="s">
        <v>141</v>
      </c>
      <c r="N846" s="11" t="s">
        <v>45</v>
      </c>
      <c r="O846" s="11" t="s">
        <v>953</v>
      </c>
    </row>
    <row r="847" spans="12:15">
      <c r="L847" s="48">
        <v>842</v>
      </c>
      <c r="M847" s="11" t="s">
        <v>107</v>
      </c>
      <c r="N847" s="11" t="s">
        <v>122</v>
      </c>
      <c r="O847" s="11" t="s">
        <v>954</v>
      </c>
    </row>
    <row r="848" spans="12:15">
      <c r="L848" s="48">
        <v>843</v>
      </c>
      <c r="M848" s="11" t="s">
        <v>19</v>
      </c>
      <c r="N848" s="11" t="s">
        <v>48</v>
      </c>
      <c r="O848" s="11" t="s">
        <v>955</v>
      </c>
    </row>
    <row r="849" spans="12:15">
      <c r="L849" s="48">
        <v>844</v>
      </c>
      <c r="M849" s="11" t="s">
        <v>121</v>
      </c>
      <c r="N849" s="11" t="s">
        <v>93</v>
      </c>
      <c r="O849" s="11" t="s">
        <v>956</v>
      </c>
    </row>
    <row r="850" spans="12:15">
      <c r="L850" s="48">
        <v>845</v>
      </c>
      <c r="M850" s="11" t="s">
        <v>121</v>
      </c>
      <c r="N850" s="11" t="s">
        <v>39</v>
      </c>
      <c r="O850" s="11" t="s">
        <v>957</v>
      </c>
    </row>
    <row r="851" spans="12:15">
      <c r="L851" s="48">
        <v>846</v>
      </c>
      <c r="M851" s="11" t="s">
        <v>64</v>
      </c>
      <c r="N851" s="11" t="s">
        <v>65</v>
      </c>
      <c r="O851" s="11" t="s">
        <v>958</v>
      </c>
    </row>
    <row r="852" spans="12:15">
      <c r="L852" s="48">
        <v>847</v>
      </c>
      <c r="M852" s="11" t="s">
        <v>316</v>
      </c>
      <c r="N852" s="11" t="s">
        <v>14</v>
      </c>
      <c r="O852" s="11" t="s">
        <v>959</v>
      </c>
    </row>
    <row r="853" spans="12:15">
      <c r="L853" s="48">
        <v>848</v>
      </c>
      <c r="M853" s="11" t="s">
        <v>203</v>
      </c>
      <c r="N853" s="11" t="s">
        <v>48</v>
      </c>
      <c r="O853" s="11" t="s">
        <v>960</v>
      </c>
    </row>
    <row r="854" spans="12:15">
      <c r="L854" s="48">
        <v>849</v>
      </c>
      <c r="M854" s="11" t="s">
        <v>130</v>
      </c>
      <c r="N854" s="11" t="s">
        <v>181</v>
      </c>
      <c r="O854" s="11" t="s">
        <v>961</v>
      </c>
    </row>
    <row r="855" spans="12:15">
      <c r="L855" s="48">
        <v>850</v>
      </c>
      <c r="M855" s="11" t="s">
        <v>160</v>
      </c>
      <c r="N855" s="11" t="s">
        <v>14</v>
      </c>
      <c r="O855" s="11" t="s">
        <v>962</v>
      </c>
    </row>
    <row r="856" spans="12:15">
      <c r="L856" s="48">
        <v>851</v>
      </c>
      <c r="M856" s="11" t="s">
        <v>169</v>
      </c>
      <c r="N856" s="11" t="s">
        <v>78</v>
      </c>
      <c r="O856" s="11" t="s">
        <v>963</v>
      </c>
    </row>
    <row r="857" spans="12:15">
      <c r="L857" s="48">
        <v>852</v>
      </c>
      <c r="M857" s="11" t="s">
        <v>38</v>
      </c>
      <c r="N857" s="11" t="s">
        <v>212</v>
      </c>
      <c r="O857" s="11" t="s">
        <v>964</v>
      </c>
    </row>
    <row r="858" spans="12:15">
      <c r="L858" s="48">
        <v>853</v>
      </c>
      <c r="M858" s="11" t="s">
        <v>22</v>
      </c>
      <c r="N858" s="11" t="s">
        <v>42</v>
      </c>
      <c r="O858" s="11" t="s">
        <v>965</v>
      </c>
    </row>
    <row r="859" spans="12:15">
      <c r="L859" s="48">
        <v>854</v>
      </c>
      <c r="M859" s="11" t="s">
        <v>50</v>
      </c>
      <c r="N859" s="11" t="s">
        <v>122</v>
      </c>
      <c r="O859" s="11" t="s">
        <v>966</v>
      </c>
    </row>
    <row r="860" spans="12:15">
      <c r="L860" s="48">
        <v>855</v>
      </c>
      <c r="M860" s="11" t="s">
        <v>13</v>
      </c>
      <c r="N860" s="11" t="s">
        <v>80</v>
      </c>
      <c r="O860" s="11" t="s">
        <v>967</v>
      </c>
    </row>
    <row r="861" spans="12:15">
      <c r="L861" s="48">
        <v>856</v>
      </c>
      <c r="M861" s="11" t="s">
        <v>90</v>
      </c>
      <c r="N861" s="11" t="s">
        <v>42</v>
      </c>
      <c r="O861" s="11" t="s">
        <v>968</v>
      </c>
    </row>
    <row r="862" spans="12:15">
      <c r="L862" s="48">
        <v>857</v>
      </c>
      <c r="M862" s="11" t="s">
        <v>110</v>
      </c>
      <c r="N862" s="11" t="s">
        <v>45</v>
      </c>
      <c r="O862" s="11" t="s">
        <v>969</v>
      </c>
    </row>
    <row r="863" spans="12:15">
      <c r="L863" s="48">
        <v>858</v>
      </c>
      <c r="M863" s="11" t="s">
        <v>47</v>
      </c>
      <c r="N863" s="11" t="s">
        <v>429</v>
      </c>
      <c r="O863" s="11" t="s">
        <v>970</v>
      </c>
    </row>
    <row r="864" spans="12:15">
      <c r="L864" s="48">
        <v>859</v>
      </c>
      <c r="M864" s="11" t="s">
        <v>30</v>
      </c>
      <c r="N864" s="11" t="s">
        <v>96</v>
      </c>
      <c r="O864" s="11" t="s">
        <v>971</v>
      </c>
    </row>
    <row r="865" spans="12:15">
      <c r="L865" s="48">
        <v>860</v>
      </c>
      <c r="M865" s="11" t="s">
        <v>203</v>
      </c>
      <c r="N865" s="11" t="s">
        <v>17</v>
      </c>
      <c r="O865" s="11" t="s">
        <v>972</v>
      </c>
    </row>
    <row r="866" spans="12:15">
      <c r="L866" s="48">
        <v>861</v>
      </c>
      <c r="M866" s="11" t="s">
        <v>56</v>
      </c>
      <c r="N866" s="11" t="s">
        <v>54</v>
      </c>
      <c r="O866" s="11" t="s">
        <v>973</v>
      </c>
    </row>
    <row r="867" spans="12:15">
      <c r="L867" s="48">
        <v>862</v>
      </c>
      <c r="M867" s="11" t="s">
        <v>110</v>
      </c>
      <c r="N867" s="11" t="s">
        <v>204</v>
      </c>
      <c r="O867" s="11" t="s">
        <v>974</v>
      </c>
    </row>
    <row r="868" spans="12:15">
      <c r="L868" s="48">
        <v>863</v>
      </c>
      <c r="M868" s="11" t="s">
        <v>133</v>
      </c>
      <c r="N868" s="11" t="s">
        <v>83</v>
      </c>
      <c r="O868" s="11" t="s">
        <v>975</v>
      </c>
    </row>
    <row r="869" spans="12:15">
      <c r="L869" s="48">
        <v>864</v>
      </c>
      <c r="M869" s="11" t="s">
        <v>187</v>
      </c>
      <c r="N869" s="11" t="s">
        <v>78</v>
      </c>
      <c r="O869" s="11" t="s">
        <v>976</v>
      </c>
    </row>
    <row r="870" spans="12:15">
      <c r="L870" s="48">
        <v>865</v>
      </c>
      <c r="M870" s="11" t="s">
        <v>316</v>
      </c>
      <c r="N870" s="11" t="s">
        <v>127</v>
      </c>
      <c r="O870" s="11" t="s">
        <v>977</v>
      </c>
    </row>
    <row r="871" spans="12:15">
      <c r="L871" s="48">
        <v>866</v>
      </c>
      <c r="M871" s="11" t="s">
        <v>87</v>
      </c>
      <c r="N871" s="11" t="s">
        <v>142</v>
      </c>
      <c r="O871" s="11" t="s">
        <v>978</v>
      </c>
    </row>
    <row r="872" spans="12:15">
      <c r="L872" s="48">
        <v>867</v>
      </c>
      <c r="M872" s="11" t="s">
        <v>110</v>
      </c>
      <c r="N872" s="11" t="s">
        <v>105</v>
      </c>
      <c r="O872" s="11" t="s">
        <v>979</v>
      </c>
    </row>
    <row r="873" spans="12:15">
      <c r="L873" s="48">
        <v>868</v>
      </c>
      <c r="M873" s="11" t="s">
        <v>124</v>
      </c>
      <c r="N873" s="11" t="s">
        <v>138</v>
      </c>
      <c r="O873" s="11" t="s">
        <v>980</v>
      </c>
    </row>
    <row r="874" spans="12:15">
      <c r="L874" s="48">
        <v>869</v>
      </c>
      <c r="M874" s="11" t="s">
        <v>124</v>
      </c>
      <c r="N874" s="11" t="s">
        <v>17</v>
      </c>
      <c r="O874" s="11" t="s">
        <v>981</v>
      </c>
    </row>
    <row r="875" spans="12:15">
      <c r="L875" s="48">
        <v>870</v>
      </c>
      <c r="M875" s="11" t="s">
        <v>141</v>
      </c>
      <c r="N875" s="11" t="s">
        <v>173</v>
      </c>
      <c r="O875" s="11" t="s">
        <v>982</v>
      </c>
    </row>
    <row r="876" spans="12:15">
      <c r="L876" s="48">
        <v>871</v>
      </c>
      <c r="M876" s="11" t="s">
        <v>90</v>
      </c>
      <c r="N876" s="11" t="s">
        <v>61</v>
      </c>
      <c r="O876" s="11" t="s">
        <v>983</v>
      </c>
    </row>
    <row r="877" spans="12:15">
      <c r="L877" s="48">
        <v>872</v>
      </c>
      <c r="M877" s="11" t="s">
        <v>130</v>
      </c>
      <c r="N877" s="11" t="s">
        <v>179</v>
      </c>
      <c r="O877" s="11" t="s">
        <v>984</v>
      </c>
    </row>
    <row r="878" spans="12:15">
      <c r="L878" s="48">
        <v>873</v>
      </c>
      <c r="M878" s="11" t="s">
        <v>158</v>
      </c>
      <c r="N878" s="11" t="s">
        <v>96</v>
      </c>
      <c r="O878" s="11" t="s">
        <v>985</v>
      </c>
    </row>
    <row r="879" spans="12:15">
      <c r="L879" s="48">
        <v>874</v>
      </c>
      <c r="M879" s="11" t="s">
        <v>56</v>
      </c>
      <c r="N879" s="11" t="s">
        <v>204</v>
      </c>
      <c r="O879" s="11" t="s">
        <v>986</v>
      </c>
    </row>
    <row r="880" spans="12:15">
      <c r="L880" s="48">
        <v>875</v>
      </c>
      <c r="M880" s="11" t="s">
        <v>176</v>
      </c>
      <c r="N880" s="11" t="s">
        <v>36</v>
      </c>
      <c r="O880" s="11" t="s">
        <v>987</v>
      </c>
    </row>
    <row r="881" spans="12:15">
      <c r="L881" s="48">
        <v>876</v>
      </c>
      <c r="M881" s="11" t="s">
        <v>53</v>
      </c>
      <c r="N881" s="11" t="s">
        <v>93</v>
      </c>
      <c r="O881" s="11" t="s">
        <v>988</v>
      </c>
    </row>
    <row r="882" spans="12:15">
      <c r="L882" s="48">
        <v>877</v>
      </c>
      <c r="M882" s="11" t="s">
        <v>22</v>
      </c>
      <c r="N882" s="11" t="s">
        <v>193</v>
      </c>
      <c r="O882" s="11" t="s">
        <v>989</v>
      </c>
    </row>
    <row r="883" spans="12:15">
      <c r="L883" s="48">
        <v>878</v>
      </c>
      <c r="M883" s="11" t="s">
        <v>77</v>
      </c>
      <c r="N883" s="11" t="s">
        <v>61</v>
      </c>
      <c r="O883" s="11" t="s">
        <v>990</v>
      </c>
    </row>
    <row r="884" spans="12:15">
      <c r="L884" s="48">
        <v>879</v>
      </c>
      <c r="M884" s="11" t="s">
        <v>53</v>
      </c>
      <c r="N884" s="11" t="s">
        <v>142</v>
      </c>
      <c r="O884" s="11" t="s">
        <v>991</v>
      </c>
    </row>
    <row r="885" spans="12:15">
      <c r="L885" s="48">
        <v>880</v>
      </c>
      <c r="M885" s="11" t="s">
        <v>41</v>
      </c>
      <c r="N885" s="11" t="s">
        <v>45</v>
      </c>
      <c r="O885" s="11" t="s">
        <v>992</v>
      </c>
    </row>
    <row r="886" spans="12:15">
      <c r="L886" s="48">
        <v>881</v>
      </c>
      <c r="M886" s="11" t="s">
        <v>30</v>
      </c>
      <c r="N886" s="11" t="s">
        <v>127</v>
      </c>
      <c r="O886" s="11" t="s">
        <v>993</v>
      </c>
    </row>
    <row r="887" spans="12:15">
      <c r="L887" s="48">
        <v>882</v>
      </c>
      <c r="M887" s="11" t="s">
        <v>47</v>
      </c>
      <c r="N887" s="11" t="s">
        <v>85</v>
      </c>
      <c r="O887" s="11" t="s">
        <v>994</v>
      </c>
    </row>
    <row r="888" spans="12:15">
      <c r="L888" s="48">
        <v>883</v>
      </c>
      <c r="M888" s="11" t="s">
        <v>50</v>
      </c>
      <c r="N888" s="11" t="s">
        <v>45</v>
      </c>
      <c r="O888" s="11" t="s">
        <v>995</v>
      </c>
    </row>
    <row r="889" spans="12:15">
      <c r="L889" s="48">
        <v>884</v>
      </c>
      <c r="M889" s="11" t="s">
        <v>293</v>
      </c>
      <c r="N889" s="11" t="s">
        <v>23</v>
      </c>
      <c r="O889" s="11" t="s">
        <v>996</v>
      </c>
    </row>
    <row r="890" spans="12:15">
      <c r="L890" s="48">
        <v>885</v>
      </c>
      <c r="M890" s="11" t="s">
        <v>30</v>
      </c>
      <c r="N890" s="11" t="s">
        <v>105</v>
      </c>
      <c r="O890" s="11" t="s">
        <v>997</v>
      </c>
    </row>
    <row r="891" spans="12:15">
      <c r="L891" s="48">
        <v>886</v>
      </c>
      <c r="M891" s="11" t="s">
        <v>166</v>
      </c>
      <c r="N891" s="11" t="s">
        <v>93</v>
      </c>
      <c r="O891" s="11" t="s">
        <v>998</v>
      </c>
    </row>
    <row r="892" spans="12:15">
      <c r="L892" s="48">
        <v>887</v>
      </c>
      <c r="M892" s="11" t="s">
        <v>35</v>
      </c>
      <c r="N892" s="11" t="s">
        <v>93</v>
      </c>
      <c r="O892" s="11" t="s">
        <v>999</v>
      </c>
    </row>
    <row r="893" spans="12:15">
      <c r="L893" s="48">
        <v>888</v>
      </c>
      <c r="M893" s="11" t="s">
        <v>77</v>
      </c>
      <c r="N893" s="11" t="s">
        <v>96</v>
      </c>
      <c r="O893" s="11" t="s">
        <v>1000</v>
      </c>
    </row>
    <row r="894" spans="12:15">
      <c r="L894" s="48">
        <v>889</v>
      </c>
      <c r="M894" s="11" t="s">
        <v>121</v>
      </c>
      <c r="N894" s="11" t="s">
        <v>173</v>
      </c>
      <c r="O894" s="11" t="s">
        <v>1001</v>
      </c>
    </row>
    <row r="895" spans="12:15">
      <c r="L895" s="48">
        <v>890</v>
      </c>
      <c r="M895" s="11" t="s">
        <v>69</v>
      </c>
      <c r="N895" s="11" t="s">
        <v>122</v>
      </c>
      <c r="O895" s="11" t="s">
        <v>1002</v>
      </c>
    </row>
    <row r="896" spans="12:15">
      <c r="L896" s="48">
        <v>891</v>
      </c>
      <c r="M896" s="11" t="s">
        <v>176</v>
      </c>
      <c r="N896" s="11" t="s">
        <v>65</v>
      </c>
      <c r="O896" s="11" t="s">
        <v>1003</v>
      </c>
    </row>
    <row r="897" spans="12:15">
      <c r="L897" s="48">
        <v>892</v>
      </c>
      <c r="M897" s="11" t="s">
        <v>53</v>
      </c>
      <c r="N897" s="11" t="s">
        <v>127</v>
      </c>
      <c r="O897" s="11" t="s">
        <v>1004</v>
      </c>
    </row>
    <row r="898" spans="12:15">
      <c r="L898" s="48">
        <v>893</v>
      </c>
      <c r="M898" s="11" t="s">
        <v>50</v>
      </c>
      <c r="N898" s="11" t="s">
        <v>122</v>
      </c>
      <c r="O898" s="11" t="s">
        <v>1005</v>
      </c>
    </row>
    <row r="899" spans="12:15">
      <c r="L899" s="48">
        <v>894</v>
      </c>
      <c r="M899" s="11" t="s">
        <v>160</v>
      </c>
      <c r="N899" s="11" t="s">
        <v>127</v>
      </c>
      <c r="O899" s="11" t="s">
        <v>1006</v>
      </c>
    </row>
    <row r="900" spans="12:15">
      <c r="L900" s="48">
        <v>895</v>
      </c>
      <c r="M900" s="11" t="s">
        <v>116</v>
      </c>
      <c r="N900" s="11" t="s">
        <v>65</v>
      </c>
      <c r="O900" s="11" t="s">
        <v>1007</v>
      </c>
    </row>
    <row r="901" spans="12:15">
      <c r="L901" s="48">
        <v>896</v>
      </c>
      <c r="M901" s="11" t="s">
        <v>30</v>
      </c>
      <c r="N901" s="11" t="s">
        <v>177</v>
      </c>
      <c r="O901" s="11" t="s">
        <v>1008</v>
      </c>
    </row>
    <row r="902" spans="12:15">
      <c r="L902" s="48">
        <v>897</v>
      </c>
      <c r="M902" s="11" t="s">
        <v>166</v>
      </c>
      <c r="N902" s="11" t="s">
        <v>153</v>
      </c>
      <c r="O902" s="11" t="s">
        <v>1009</v>
      </c>
    </row>
    <row r="903" spans="12:15">
      <c r="L903" s="48">
        <v>898</v>
      </c>
      <c r="M903" s="11" t="s">
        <v>47</v>
      </c>
      <c r="N903" s="11" t="s">
        <v>181</v>
      </c>
      <c r="O903" s="11" t="s">
        <v>1010</v>
      </c>
    </row>
    <row r="904" spans="12:15">
      <c r="L904" s="48">
        <v>899</v>
      </c>
      <c r="M904" s="11" t="s">
        <v>229</v>
      </c>
      <c r="N904" s="11" t="s">
        <v>138</v>
      </c>
      <c r="O904" s="11" t="s">
        <v>1011</v>
      </c>
    </row>
    <row r="905" spans="12:15">
      <c r="L905" s="48">
        <v>900</v>
      </c>
      <c r="M905" s="11" t="s">
        <v>160</v>
      </c>
      <c r="N905" s="11" t="s">
        <v>204</v>
      </c>
      <c r="O905" s="11" t="s">
        <v>1012</v>
      </c>
    </row>
    <row r="906" spans="12:15">
      <c r="L906" s="48">
        <v>901</v>
      </c>
      <c r="M906" s="11" t="s">
        <v>293</v>
      </c>
      <c r="N906" s="11" t="s">
        <v>14</v>
      </c>
      <c r="O906" s="11" t="s">
        <v>1013</v>
      </c>
    </row>
    <row r="907" spans="12:15">
      <c r="L907" s="48">
        <v>902</v>
      </c>
      <c r="M907" s="11" t="s">
        <v>293</v>
      </c>
      <c r="N907" s="11" t="s">
        <v>108</v>
      </c>
      <c r="O907" s="11" t="s">
        <v>1014</v>
      </c>
    </row>
    <row r="908" spans="12:15">
      <c r="L908" s="48">
        <v>903</v>
      </c>
      <c r="M908" s="11" t="s">
        <v>158</v>
      </c>
      <c r="N908" s="11" t="s">
        <v>33</v>
      </c>
      <c r="O908" s="11" t="s">
        <v>1015</v>
      </c>
    </row>
    <row r="909" spans="12:15">
      <c r="L909" s="48">
        <v>904</v>
      </c>
      <c r="M909" s="11" t="s">
        <v>160</v>
      </c>
      <c r="N909" s="11" t="s">
        <v>212</v>
      </c>
      <c r="O909" s="11" t="s">
        <v>1016</v>
      </c>
    </row>
    <row r="910" spans="12:15">
      <c r="L910" s="48">
        <v>905</v>
      </c>
      <c r="M910" s="11" t="s">
        <v>30</v>
      </c>
      <c r="N910" s="11" t="s">
        <v>33</v>
      </c>
      <c r="O910" s="11" t="s">
        <v>1017</v>
      </c>
    </row>
    <row r="911" spans="12:15">
      <c r="L911" s="48">
        <v>906</v>
      </c>
      <c r="M911" s="11" t="s">
        <v>166</v>
      </c>
      <c r="N911" s="11" t="s">
        <v>177</v>
      </c>
      <c r="O911" s="11" t="s">
        <v>1018</v>
      </c>
    </row>
    <row r="912" spans="12:15">
      <c r="L912" s="48">
        <v>907</v>
      </c>
      <c r="M912" s="11" t="s">
        <v>82</v>
      </c>
      <c r="N912" s="11" t="s">
        <v>401</v>
      </c>
      <c r="O912" s="11" t="s">
        <v>1019</v>
      </c>
    </row>
    <row r="913" spans="12:15">
      <c r="L913" s="48">
        <v>908</v>
      </c>
      <c r="M913" s="11" t="s">
        <v>197</v>
      </c>
      <c r="N913" s="11" t="s">
        <v>20</v>
      </c>
      <c r="O913" s="11" t="s">
        <v>1020</v>
      </c>
    </row>
    <row r="914" spans="12:15">
      <c r="L914" s="48">
        <v>909</v>
      </c>
      <c r="M914" s="11" t="s">
        <v>141</v>
      </c>
      <c r="N914" s="11" t="s">
        <v>111</v>
      </c>
      <c r="O914" s="11" t="s">
        <v>1021</v>
      </c>
    </row>
    <row r="915" spans="12:15">
      <c r="L915" s="48">
        <v>910</v>
      </c>
      <c r="M915" s="11" t="s">
        <v>169</v>
      </c>
      <c r="N915" s="11" t="s">
        <v>14</v>
      </c>
      <c r="O915" s="11" t="s">
        <v>1022</v>
      </c>
    </row>
    <row r="916" spans="12:15">
      <c r="L916" s="48">
        <v>911</v>
      </c>
      <c r="M916" s="11" t="s">
        <v>82</v>
      </c>
      <c r="N916" s="11" t="s">
        <v>179</v>
      </c>
      <c r="O916" s="11" t="s">
        <v>1023</v>
      </c>
    </row>
    <row r="917" spans="12:15">
      <c r="L917" s="48">
        <v>912</v>
      </c>
      <c r="M917" s="11" t="s">
        <v>299</v>
      </c>
      <c r="N917" s="11" t="s">
        <v>204</v>
      </c>
      <c r="O917" s="11" t="s">
        <v>1024</v>
      </c>
    </row>
    <row r="918" spans="12:15">
      <c r="L918" s="48">
        <v>913</v>
      </c>
      <c r="M918" s="11" t="s">
        <v>187</v>
      </c>
      <c r="N918" s="11" t="s">
        <v>83</v>
      </c>
      <c r="O918" s="11" t="s">
        <v>1025</v>
      </c>
    </row>
    <row r="919" spans="12:15">
      <c r="L919" s="48">
        <v>914</v>
      </c>
      <c r="M919" s="11" t="s">
        <v>158</v>
      </c>
      <c r="N919" s="11" t="s">
        <v>147</v>
      </c>
      <c r="O919" s="11" t="s">
        <v>1026</v>
      </c>
    </row>
    <row r="920" spans="12:15">
      <c r="L920" s="48">
        <v>915</v>
      </c>
      <c r="M920" s="11" t="s">
        <v>124</v>
      </c>
      <c r="N920" s="11" t="s">
        <v>75</v>
      </c>
      <c r="O920" s="11" t="s">
        <v>1027</v>
      </c>
    </row>
    <row r="921" spans="12:15">
      <c r="L921" s="48">
        <v>916</v>
      </c>
      <c r="M921" s="11" t="s">
        <v>187</v>
      </c>
      <c r="N921" s="11" t="s">
        <v>111</v>
      </c>
      <c r="O921" s="11" t="s">
        <v>1028</v>
      </c>
    </row>
    <row r="922" spans="12:15">
      <c r="L922" s="48">
        <v>917</v>
      </c>
      <c r="M922" s="11" t="s">
        <v>82</v>
      </c>
      <c r="N922" s="11" t="s">
        <v>75</v>
      </c>
      <c r="O922" s="11" t="s">
        <v>1029</v>
      </c>
    </row>
    <row r="923" spans="12:15">
      <c r="L923" s="48">
        <v>918</v>
      </c>
      <c r="M923" s="11" t="s">
        <v>87</v>
      </c>
      <c r="N923" s="11" t="s">
        <v>179</v>
      </c>
      <c r="O923" s="11" t="s">
        <v>1030</v>
      </c>
    </row>
    <row r="924" spans="12:15">
      <c r="L924" s="48">
        <v>919</v>
      </c>
      <c r="M924" s="11" t="s">
        <v>118</v>
      </c>
      <c r="N924" s="11" t="s">
        <v>108</v>
      </c>
      <c r="O924" s="11" t="s">
        <v>1031</v>
      </c>
    </row>
    <row r="925" spans="12:15">
      <c r="L925" s="48">
        <v>920</v>
      </c>
      <c r="M925" s="11" t="s">
        <v>187</v>
      </c>
      <c r="N925" s="11" t="s">
        <v>212</v>
      </c>
      <c r="O925" s="11" t="s">
        <v>1032</v>
      </c>
    </row>
    <row r="926" spans="12:15">
      <c r="L926" s="48">
        <v>921</v>
      </c>
      <c r="M926" s="11" t="s">
        <v>67</v>
      </c>
      <c r="N926" s="11" t="s">
        <v>127</v>
      </c>
      <c r="O926" s="11" t="s">
        <v>1033</v>
      </c>
    </row>
    <row r="927" spans="12:15">
      <c r="L927" s="48">
        <v>922</v>
      </c>
      <c r="M927" s="11" t="s">
        <v>124</v>
      </c>
      <c r="N927" s="11" t="s">
        <v>93</v>
      </c>
      <c r="O927" s="11" t="s">
        <v>1034</v>
      </c>
    </row>
    <row r="928" spans="12:15">
      <c r="L928" s="48">
        <v>923</v>
      </c>
      <c r="M928" s="11" t="s">
        <v>82</v>
      </c>
      <c r="N928" s="11" t="s">
        <v>193</v>
      </c>
      <c r="O928" s="11" t="s">
        <v>1035</v>
      </c>
    </row>
    <row r="929" spans="12:15">
      <c r="L929" s="48">
        <v>924</v>
      </c>
      <c r="M929" s="11" t="s">
        <v>64</v>
      </c>
      <c r="N929" s="11" t="s">
        <v>59</v>
      </c>
      <c r="O929" s="11" t="s">
        <v>1036</v>
      </c>
    </row>
    <row r="930" spans="12:15">
      <c r="L930" s="48">
        <v>925</v>
      </c>
      <c r="M930" s="11" t="s">
        <v>187</v>
      </c>
      <c r="N930" s="11" t="s">
        <v>177</v>
      </c>
      <c r="O930" s="11" t="s">
        <v>1037</v>
      </c>
    </row>
    <row r="931" spans="12:15">
      <c r="L931" s="48">
        <v>926</v>
      </c>
      <c r="M931" s="11" t="s">
        <v>13</v>
      </c>
      <c r="N931" s="11" t="s">
        <v>33</v>
      </c>
      <c r="O931" s="11" t="s">
        <v>1038</v>
      </c>
    </row>
    <row r="932" spans="12:15">
      <c r="L932" s="48">
        <v>927</v>
      </c>
      <c r="M932" s="11" t="s">
        <v>158</v>
      </c>
      <c r="N932" s="11" t="s">
        <v>73</v>
      </c>
      <c r="O932" s="11" t="s">
        <v>1039</v>
      </c>
    </row>
    <row r="933" spans="12:15">
      <c r="L933" s="48">
        <v>928</v>
      </c>
      <c r="M933" s="11" t="s">
        <v>133</v>
      </c>
      <c r="N933" s="11" t="s">
        <v>39</v>
      </c>
      <c r="O933" s="11" t="s">
        <v>1040</v>
      </c>
    </row>
    <row r="934" spans="12:15">
      <c r="L934" s="48">
        <v>929</v>
      </c>
      <c r="M934" s="11" t="s">
        <v>293</v>
      </c>
      <c r="N934" s="11" t="s">
        <v>65</v>
      </c>
      <c r="O934" s="11" t="s">
        <v>1041</v>
      </c>
    </row>
    <row r="935" spans="12:15">
      <c r="L935" s="48">
        <v>930</v>
      </c>
      <c r="M935" s="11" t="s">
        <v>47</v>
      </c>
      <c r="N935" s="11" t="s">
        <v>346</v>
      </c>
      <c r="O935" s="11" t="s">
        <v>1042</v>
      </c>
    </row>
    <row r="936" spans="12:15">
      <c r="L936" s="48">
        <v>931</v>
      </c>
      <c r="M936" s="11" t="s">
        <v>19</v>
      </c>
      <c r="N936" s="11" t="s">
        <v>36</v>
      </c>
      <c r="O936" s="11" t="s">
        <v>1043</v>
      </c>
    </row>
    <row r="937" spans="12:15">
      <c r="L937" s="48">
        <v>932</v>
      </c>
      <c r="M937" s="11" t="s">
        <v>121</v>
      </c>
      <c r="N937" s="11" t="s">
        <v>145</v>
      </c>
      <c r="O937" s="11" t="s">
        <v>1044</v>
      </c>
    </row>
    <row r="938" spans="12:15">
      <c r="L938" s="48">
        <v>933</v>
      </c>
      <c r="M938" s="11" t="s">
        <v>121</v>
      </c>
      <c r="N938" s="11" t="s">
        <v>26</v>
      </c>
      <c r="O938" s="11" t="s">
        <v>1045</v>
      </c>
    </row>
    <row r="939" spans="12:15">
      <c r="L939" s="48">
        <v>934</v>
      </c>
      <c r="M939" s="11" t="s">
        <v>231</v>
      </c>
      <c r="N939" s="11" t="s">
        <v>177</v>
      </c>
      <c r="O939" s="11" t="s">
        <v>1046</v>
      </c>
    </row>
    <row r="940" spans="12:15">
      <c r="L940" s="48">
        <v>935</v>
      </c>
      <c r="M940" s="11" t="s">
        <v>32</v>
      </c>
      <c r="N940" s="11" t="s">
        <v>401</v>
      </c>
      <c r="O940" s="11" t="s">
        <v>1047</v>
      </c>
    </row>
    <row r="941" spans="12:15">
      <c r="L941" s="48">
        <v>936</v>
      </c>
      <c r="M941" s="11" t="s">
        <v>95</v>
      </c>
      <c r="N941" s="11" t="s">
        <v>73</v>
      </c>
      <c r="O941" s="11" t="s">
        <v>1048</v>
      </c>
    </row>
    <row r="942" spans="12:15">
      <c r="L942" s="48">
        <v>937</v>
      </c>
      <c r="M942" s="11" t="s">
        <v>13</v>
      </c>
      <c r="N942" s="11" t="s">
        <v>96</v>
      </c>
      <c r="O942" s="11" t="s">
        <v>1049</v>
      </c>
    </row>
    <row r="943" spans="12:15">
      <c r="L943" s="48">
        <v>938</v>
      </c>
      <c r="M943" s="11" t="s">
        <v>220</v>
      </c>
      <c r="N943" s="11" t="s">
        <v>83</v>
      </c>
      <c r="O943" s="11" t="s">
        <v>1050</v>
      </c>
    </row>
    <row r="944" spans="12:15">
      <c r="L944" s="48">
        <v>939</v>
      </c>
      <c r="M944" s="11" t="s">
        <v>110</v>
      </c>
      <c r="N944" s="11" t="s">
        <v>23</v>
      </c>
      <c r="O944" s="11" t="s">
        <v>1051</v>
      </c>
    </row>
    <row r="945" spans="12:15">
      <c r="L945" s="48">
        <v>940</v>
      </c>
      <c r="M945" s="11" t="s">
        <v>197</v>
      </c>
      <c r="N945" s="11" t="s">
        <v>212</v>
      </c>
      <c r="O945" s="11" t="s">
        <v>1052</v>
      </c>
    </row>
    <row r="946" spans="12:15">
      <c r="L946" s="48">
        <v>941</v>
      </c>
      <c r="M946" s="11" t="s">
        <v>87</v>
      </c>
      <c r="N946" s="11" t="s">
        <v>73</v>
      </c>
      <c r="O946" s="11" t="s">
        <v>1053</v>
      </c>
    </row>
    <row r="947" spans="12:15">
      <c r="L947" s="48">
        <v>942</v>
      </c>
      <c r="M947" s="11" t="s">
        <v>16</v>
      </c>
      <c r="N947" s="11" t="s">
        <v>401</v>
      </c>
      <c r="O947" s="11" t="s">
        <v>1054</v>
      </c>
    </row>
    <row r="948" spans="12:15">
      <c r="L948" s="48">
        <v>943</v>
      </c>
      <c r="M948" s="11" t="s">
        <v>16</v>
      </c>
      <c r="N948" s="11" t="s">
        <v>26</v>
      </c>
      <c r="O948" s="11" t="s">
        <v>1055</v>
      </c>
    </row>
    <row r="949" spans="12:15">
      <c r="L949" s="48">
        <v>944</v>
      </c>
      <c r="M949" s="11" t="s">
        <v>176</v>
      </c>
      <c r="N949" s="11" t="s">
        <v>83</v>
      </c>
      <c r="O949" s="11" t="s">
        <v>1056</v>
      </c>
    </row>
    <row r="950" spans="12:15">
      <c r="L950" s="48">
        <v>945</v>
      </c>
      <c r="M950" s="11" t="s">
        <v>16</v>
      </c>
      <c r="N950" s="11" t="s">
        <v>36</v>
      </c>
      <c r="O950" s="11" t="s">
        <v>1057</v>
      </c>
    </row>
    <row r="951" spans="12:15">
      <c r="L951" s="48">
        <v>946</v>
      </c>
      <c r="M951" s="11" t="s">
        <v>87</v>
      </c>
      <c r="N951" s="11" t="s">
        <v>28</v>
      </c>
      <c r="O951" s="11" t="s">
        <v>1058</v>
      </c>
    </row>
    <row r="952" spans="12:15">
      <c r="L952" s="48">
        <v>947</v>
      </c>
      <c r="M952" s="11" t="s">
        <v>210</v>
      </c>
      <c r="N952" s="11" t="s">
        <v>14</v>
      </c>
      <c r="O952" s="11" t="s">
        <v>1059</v>
      </c>
    </row>
    <row r="953" spans="12:15">
      <c r="L953" s="48">
        <v>948</v>
      </c>
      <c r="M953" s="11" t="s">
        <v>210</v>
      </c>
      <c r="N953" s="11" t="s">
        <v>14</v>
      </c>
      <c r="O953" s="11" t="s">
        <v>1060</v>
      </c>
    </row>
    <row r="954" spans="12:15">
      <c r="L954" s="48">
        <v>949</v>
      </c>
      <c r="M954" s="11" t="s">
        <v>116</v>
      </c>
      <c r="N954" s="11" t="s">
        <v>23</v>
      </c>
      <c r="O954" s="11" t="s">
        <v>1061</v>
      </c>
    </row>
    <row r="955" spans="12:15">
      <c r="L955" s="48">
        <v>950</v>
      </c>
      <c r="M955" s="11" t="s">
        <v>95</v>
      </c>
      <c r="N955" s="11" t="s">
        <v>73</v>
      </c>
      <c r="O955" s="11" t="s">
        <v>1062</v>
      </c>
    </row>
    <row r="956" spans="12:15">
      <c r="L956" s="48">
        <v>951</v>
      </c>
      <c r="M956" s="11" t="s">
        <v>82</v>
      </c>
      <c r="N956" s="11" t="s">
        <v>78</v>
      </c>
      <c r="O956" s="11" t="s">
        <v>1063</v>
      </c>
    </row>
    <row r="957" spans="12:15">
      <c r="L957" s="48">
        <v>952</v>
      </c>
      <c r="M957" s="11" t="s">
        <v>220</v>
      </c>
      <c r="N957" s="11" t="s">
        <v>85</v>
      </c>
      <c r="O957" s="11" t="s">
        <v>1064</v>
      </c>
    </row>
    <row r="958" spans="12:15">
      <c r="L958" s="48">
        <v>953</v>
      </c>
      <c r="M958" s="11" t="s">
        <v>25</v>
      </c>
      <c r="N958" s="11" t="s">
        <v>179</v>
      </c>
      <c r="O958" s="11" t="s">
        <v>1065</v>
      </c>
    </row>
    <row r="959" spans="12:15">
      <c r="L959" s="48">
        <v>954</v>
      </c>
      <c r="M959" s="11" t="s">
        <v>95</v>
      </c>
      <c r="N959" s="11" t="s">
        <v>17</v>
      </c>
      <c r="O959" s="11" t="s">
        <v>1066</v>
      </c>
    </row>
    <row r="960" spans="12:15">
      <c r="L960" s="48">
        <v>955</v>
      </c>
      <c r="M960" s="11" t="s">
        <v>32</v>
      </c>
      <c r="N960" s="11" t="s">
        <v>28</v>
      </c>
      <c r="O960" s="11" t="s">
        <v>1067</v>
      </c>
    </row>
    <row r="961" spans="12:15">
      <c r="L961" s="48">
        <v>956</v>
      </c>
      <c r="M961" s="11" t="s">
        <v>169</v>
      </c>
      <c r="N961" s="11" t="s">
        <v>42</v>
      </c>
      <c r="O961" s="11" t="s">
        <v>1068</v>
      </c>
    </row>
    <row r="962" spans="12:15">
      <c r="L962" s="48">
        <v>957</v>
      </c>
      <c r="M962" s="11" t="s">
        <v>316</v>
      </c>
      <c r="N962" s="11" t="s">
        <v>45</v>
      </c>
      <c r="O962" s="11" t="s">
        <v>1069</v>
      </c>
    </row>
    <row r="963" spans="12:15">
      <c r="L963" s="48">
        <v>958</v>
      </c>
      <c r="M963" s="11" t="s">
        <v>316</v>
      </c>
      <c r="N963" s="11" t="s">
        <v>42</v>
      </c>
      <c r="O963" s="11" t="s">
        <v>1070</v>
      </c>
    </row>
    <row r="964" spans="12:15">
      <c r="L964" s="48">
        <v>959</v>
      </c>
      <c r="M964" s="11" t="s">
        <v>16</v>
      </c>
      <c r="N964" s="11" t="s">
        <v>193</v>
      </c>
      <c r="O964" s="11" t="s">
        <v>1071</v>
      </c>
    </row>
    <row r="965" spans="12:15">
      <c r="L965" s="48">
        <v>960</v>
      </c>
      <c r="M965" s="11" t="s">
        <v>316</v>
      </c>
      <c r="N965" s="11" t="s">
        <v>57</v>
      </c>
      <c r="O965" s="11" t="s">
        <v>1072</v>
      </c>
    </row>
    <row r="966" spans="12:15">
      <c r="L966" s="48">
        <v>961</v>
      </c>
      <c r="M966" s="11" t="s">
        <v>169</v>
      </c>
      <c r="N966" s="11" t="s">
        <v>23</v>
      </c>
      <c r="O966" s="11" t="s">
        <v>1073</v>
      </c>
    </row>
    <row r="967" spans="12:15">
      <c r="L967" s="48">
        <v>962</v>
      </c>
      <c r="M967" s="11" t="s">
        <v>166</v>
      </c>
      <c r="N967" s="11" t="s">
        <v>48</v>
      </c>
      <c r="O967" s="11" t="s">
        <v>1074</v>
      </c>
    </row>
    <row r="968" spans="12:15">
      <c r="L968" s="48">
        <v>963</v>
      </c>
      <c r="M968" s="11" t="s">
        <v>121</v>
      </c>
      <c r="N968" s="11" t="s">
        <v>23</v>
      </c>
      <c r="O968" s="11" t="s">
        <v>1075</v>
      </c>
    </row>
    <row r="969" spans="12:15">
      <c r="L969" s="48">
        <v>964</v>
      </c>
      <c r="M969" s="11" t="s">
        <v>160</v>
      </c>
      <c r="N969" s="11" t="s">
        <v>26</v>
      </c>
      <c r="O969" s="11" t="s">
        <v>1076</v>
      </c>
    </row>
    <row r="970" spans="12:15">
      <c r="L970" s="48">
        <v>965</v>
      </c>
      <c r="M970" s="11" t="s">
        <v>229</v>
      </c>
      <c r="N970" s="11" t="s">
        <v>23</v>
      </c>
      <c r="O970" s="11" t="s">
        <v>1077</v>
      </c>
    </row>
    <row r="971" spans="12:15">
      <c r="L971" s="48">
        <v>966</v>
      </c>
      <c r="M971" s="11" t="s">
        <v>197</v>
      </c>
      <c r="N971" s="11" t="s">
        <v>96</v>
      </c>
      <c r="O971" s="11" t="s">
        <v>1078</v>
      </c>
    </row>
    <row r="972" spans="12:15">
      <c r="L972" s="48">
        <v>967</v>
      </c>
      <c r="M972" s="11" t="s">
        <v>19</v>
      </c>
      <c r="N972" s="11" t="s">
        <v>23</v>
      </c>
      <c r="O972" s="11" t="s">
        <v>1079</v>
      </c>
    </row>
    <row r="973" spans="12:15">
      <c r="L973" s="48">
        <v>968</v>
      </c>
      <c r="M973" s="11" t="s">
        <v>87</v>
      </c>
      <c r="N973" s="11" t="s">
        <v>23</v>
      </c>
      <c r="O973" s="11" t="s">
        <v>1080</v>
      </c>
    </row>
    <row r="974" spans="12:15">
      <c r="L974" s="48">
        <v>969</v>
      </c>
      <c r="M974" s="11" t="s">
        <v>110</v>
      </c>
      <c r="N974" s="11" t="s">
        <v>20</v>
      </c>
      <c r="O974" s="11" t="s">
        <v>1081</v>
      </c>
    </row>
    <row r="975" spans="12:15">
      <c r="L975" s="48">
        <v>970</v>
      </c>
      <c r="M975" s="11" t="s">
        <v>77</v>
      </c>
      <c r="N975" s="11" t="s">
        <v>193</v>
      </c>
      <c r="O975" s="11" t="s">
        <v>1082</v>
      </c>
    </row>
    <row r="976" spans="12:15">
      <c r="L976" s="48">
        <v>971</v>
      </c>
      <c r="M976" s="11" t="s">
        <v>35</v>
      </c>
      <c r="N976" s="11" t="s">
        <v>135</v>
      </c>
      <c r="O976" s="11" t="s">
        <v>1083</v>
      </c>
    </row>
    <row r="977" spans="12:15">
      <c r="L977" s="48">
        <v>972</v>
      </c>
      <c r="M977" s="11" t="s">
        <v>71</v>
      </c>
      <c r="N977" s="11" t="s">
        <v>39</v>
      </c>
      <c r="O977" s="11" t="s">
        <v>1084</v>
      </c>
    </row>
    <row r="978" spans="12:15">
      <c r="L978" s="48">
        <v>973</v>
      </c>
      <c r="M978" s="11" t="s">
        <v>210</v>
      </c>
      <c r="N978" s="11" t="s">
        <v>61</v>
      </c>
      <c r="O978" s="11" t="s">
        <v>1085</v>
      </c>
    </row>
    <row r="979" spans="12:15">
      <c r="L979" s="48">
        <v>974</v>
      </c>
      <c r="M979" s="11" t="s">
        <v>77</v>
      </c>
      <c r="N979" s="11" t="s">
        <v>54</v>
      </c>
      <c r="O979" s="11" t="s">
        <v>1086</v>
      </c>
    </row>
    <row r="980" spans="12:15">
      <c r="L980" s="48">
        <v>975</v>
      </c>
      <c r="M980" s="11" t="s">
        <v>130</v>
      </c>
      <c r="N980" s="11" t="s">
        <v>28</v>
      </c>
      <c r="O980" s="11" t="s">
        <v>1087</v>
      </c>
    </row>
    <row r="981" spans="12:15">
      <c r="L981" s="48">
        <v>976</v>
      </c>
      <c r="M981" s="11" t="s">
        <v>56</v>
      </c>
      <c r="N981" s="11" t="s">
        <v>93</v>
      </c>
      <c r="O981" s="11" t="s">
        <v>1088</v>
      </c>
    </row>
    <row r="982" spans="12:15">
      <c r="L982" s="48">
        <v>977</v>
      </c>
      <c r="M982" s="11" t="s">
        <v>133</v>
      </c>
      <c r="N982" s="11" t="s">
        <v>73</v>
      </c>
      <c r="O982" s="11" t="s">
        <v>1089</v>
      </c>
    </row>
    <row r="983" spans="12:15">
      <c r="L983" s="48">
        <v>978</v>
      </c>
      <c r="M983" s="11" t="s">
        <v>176</v>
      </c>
      <c r="N983" s="11" t="s">
        <v>78</v>
      </c>
      <c r="O983" s="11" t="s">
        <v>1090</v>
      </c>
    </row>
    <row r="984" spans="12:15">
      <c r="L984" s="48">
        <v>979</v>
      </c>
      <c r="M984" s="11" t="s">
        <v>169</v>
      </c>
      <c r="N984" s="11" t="s">
        <v>108</v>
      </c>
      <c r="O984" s="11" t="s">
        <v>1091</v>
      </c>
    </row>
    <row r="985" spans="12:15">
      <c r="L985" s="48">
        <v>980</v>
      </c>
      <c r="M985" s="11" t="s">
        <v>231</v>
      </c>
      <c r="N985" s="11" t="s">
        <v>57</v>
      </c>
      <c r="O985" s="11" t="s">
        <v>1092</v>
      </c>
    </row>
    <row r="986" spans="12:15">
      <c r="L986" s="48">
        <v>981</v>
      </c>
      <c r="M986" s="11" t="s">
        <v>64</v>
      </c>
      <c r="N986" s="11" t="s">
        <v>108</v>
      </c>
      <c r="O986" s="11" t="s">
        <v>1093</v>
      </c>
    </row>
    <row r="987" spans="12:15">
      <c r="L987" s="48">
        <v>982</v>
      </c>
      <c r="M987" s="11" t="s">
        <v>50</v>
      </c>
      <c r="N987" s="11" t="s">
        <v>145</v>
      </c>
      <c r="O987" s="11" t="s">
        <v>1094</v>
      </c>
    </row>
    <row r="988" spans="12:15">
      <c r="L988" s="48">
        <v>983</v>
      </c>
      <c r="M988" s="11" t="s">
        <v>77</v>
      </c>
      <c r="N988" s="11" t="s">
        <v>96</v>
      </c>
      <c r="O988" s="11" t="s">
        <v>1095</v>
      </c>
    </row>
    <row r="989" spans="12:15">
      <c r="L989" s="48">
        <v>984</v>
      </c>
      <c r="M989" s="11" t="s">
        <v>32</v>
      </c>
      <c r="N989" s="11" t="s">
        <v>78</v>
      </c>
      <c r="O989" s="11" t="s">
        <v>1096</v>
      </c>
    </row>
    <row r="990" spans="12:15">
      <c r="L990" s="48">
        <v>985</v>
      </c>
      <c r="M990" s="11" t="s">
        <v>176</v>
      </c>
      <c r="N990" s="11" t="s">
        <v>57</v>
      </c>
      <c r="O990" s="11" t="s">
        <v>1097</v>
      </c>
    </row>
    <row r="991" spans="12:15">
      <c r="L991" s="48">
        <v>986</v>
      </c>
      <c r="M991" s="11" t="s">
        <v>107</v>
      </c>
      <c r="N991" s="11" t="s">
        <v>193</v>
      </c>
      <c r="O991" s="11" t="s">
        <v>1098</v>
      </c>
    </row>
    <row r="992" spans="12:15">
      <c r="L992" s="48">
        <v>987</v>
      </c>
      <c r="M992" s="11" t="s">
        <v>176</v>
      </c>
      <c r="N992" s="11" t="s">
        <v>125</v>
      </c>
      <c r="O992" s="11" t="s">
        <v>1099</v>
      </c>
    </row>
    <row r="993" spans="12:15">
      <c r="L993" s="48">
        <v>988</v>
      </c>
      <c r="M993" s="11" t="s">
        <v>121</v>
      </c>
      <c r="N993" s="11" t="s">
        <v>142</v>
      </c>
      <c r="O993" s="11" t="s">
        <v>1100</v>
      </c>
    </row>
    <row r="994" spans="12:15">
      <c r="L994" s="48">
        <v>989</v>
      </c>
      <c r="M994" s="11" t="s">
        <v>64</v>
      </c>
      <c r="N994" s="11" t="s">
        <v>42</v>
      </c>
      <c r="O994" s="11" t="s">
        <v>1101</v>
      </c>
    </row>
    <row r="995" spans="12:15">
      <c r="L995" s="48">
        <v>990</v>
      </c>
      <c r="M995" s="11" t="s">
        <v>118</v>
      </c>
      <c r="N995" s="11" t="s">
        <v>26</v>
      </c>
      <c r="O995" s="11" t="s">
        <v>1102</v>
      </c>
    </row>
    <row r="996" spans="12:15">
      <c r="L996" s="48">
        <v>991</v>
      </c>
      <c r="M996" s="11" t="s">
        <v>203</v>
      </c>
      <c r="N996" s="11" t="s">
        <v>61</v>
      </c>
      <c r="O996" s="11" t="s">
        <v>1103</v>
      </c>
    </row>
    <row r="997" spans="12:15">
      <c r="L997" s="48">
        <v>992</v>
      </c>
      <c r="M997" s="11" t="s">
        <v>166</v>
      </c>
      <c r="N997" s="11" t="s">
        <v>65</v>
      </c>
      <c r="O997" s="11" t="s">
        <v>1104</v>
      </c>
    </row>
    <row r="998" spans="12:15">
      <c r="L998" s="48">
        <v>993</v>
      </c>
      <c r="M998" s="11" t="s">
        <v>169</v>
      </c>
      <c r="N998" s="11" t="s">
        <v>212</v>
      </c>
      <c r="O998" s="11" t="s">
        <v>1105</v>
      </c>
    </row>
    <row r="999" spans="12:15">
      <c r="L999" s="48">
        <v>994</v>
      </c>
      <c r="M999" s="11" t="s">
        <v>293</v>
      </c>
      <c r="N999" s="11" t="s">
        <v>42</v>
      </c>
      <c r="O999" s="11" t="s">
        <v>1106</v>
      </c>
    </row>
    <row r="1000" spans="12:15">
      <c r="L1000" s="48">
        <v>995</v>
      </c>
      <c r="M1000" s="11" t="s">
        <v>107</v>
      </c>
      <c r="N1000" s="11" t="s">
        <v>65</v>
      </c>
      <c r="O1000" s="11" t="s">
        <v>1107</v>
      </c>
    </row>
    <row r="1001" spans="12:15">
      <c r="L1001" s="48">
        <v>996</v>
      </c>
      <c r="M1001" s="11" t="s">
        <v>210</v>
      </c>
      <c r="N1001" s="11" t="s">
        <v>73</v>
      </c>
      <c r="O1001" s="11" t="s">
        <v>1108</v>
      </c>
    </row>
    <row r="1002" spans="12:15">
      <c r="L1002" s="48">
        <v>997</v>
      </c>
      <c r="M1002" s="11" t="s">
        <v>25</v>
      </c>
      <c r="N1002" s="11" t="s">
        <v>20</v>
      </c>
      <c r="O1002" s="11" t="s">
        <v>1109</v>
      </c>
    </row>
    <row r="1003" spans="12:15">
      <c r="L1003" s="48">
        <v>998</v>
      </c>
      <c r="M1003" s="11" t="s">
        <v>19</v>
      </c>
      <c r="N1003" s="11" t="s">
        <v>48</v>
      </c>
      <c r="O1003" s="11" t="s">
        <v>1110</v>
      </c>
    </row>
    <row r="1004" spans="12:15">
      <c r="L1004" s="48">
        <v>999</v>
      </c>
      <c r="M1004" s="11" t="s">
        <v>25</v>
      </c>
      <c r="N1004" s="11" t="s">
        <v>17</v>
      </c>
      <c r="O1004" s="11" t="s">
        <v>1111</v>
      </c>
    </row>
    <row r="1005" spans="12:15">
      <c r="L1005" s="48">
        <v>1000</v>
      </c>
      <c r="M1005" s="11" t="s">
        <v>263</v>
      </c>
      <c r="N1005" s="11" t="s">
        <v>135</v>
      </c>
      <c r="O1005" s="11" t="s">
        <v>1112</v>
      </c>
    </row>
  </sheetData>
  <mergeCells count="4">
    <mergeCell ref="C1:D1"/>
    <mergeCell ref="E1:F1"/>
    <mergeCell ref="G1:K1"/>
    <mergeCell ref="L3:O3"/>
  </mergeCells>
  <hyperlinks>
    <hyperlink ref="C9" r:id="rId1" xr:uid="{00000000-0004-0000-0000-000000000000}"/>
  </hyperlinks>
  <pageMargins left="0.7" right="0.7" top="0.78740157499999996" bottom="0.78740157499999996"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2"/>
  <dimension ref="A1:J19"/>
  <sheetViews>
    <sheetView zoomScale="145" zoomScaleNormal="145" workbookViewId="0">
      <selection activeCell="J5" sqref="F5:J5"/>
    </sheetView>
  </sheetViews>
  <sheetFormatPr defaultColWidth="10.88671875" defaultRowHeight="15.6"/>
  <cols>
    <col min="1" max="1" width="51.21875" style="2" customWidth="1"/>
    <col min="2" max="2" width="2.77734375" style="3" customWidth="1"/>
    <col min="3" max="3" width="2.77734375" customWidth="1"/>
    <col min="4" max="4" width="10.21875" style="9" customWidth="1"/>
    <col min="5" max="5" width="15.5546875" style="8" customWidth="1"/>
    <col min="6" max="6" width="10" bestFit="1" customWidth="1"/>
    <col min="7" max="9" width="10.44140625" customWidth="1"/>
    <col min="10" max="10" width="9.44140625" bestFit="1" customWidth="1"/>
    <col min="11" max="11" width="21" customWidth="1"/>
  </cols>
  <sheetData>
    <row r="1" spans="1:10" ht="21" customHeight="1">
      <c r="A1" s="6" t="s">
        <v>1125</v>
      </c>
      <c r="C1" s="30"/>
      <c r="D1" s="66" t="s">
        <v>1126</v>
      </c>
      <c r="E1" s="66"/>
      <c r="F1" s="66"/>
      <c r="G1" s="66"/>
      <c r="H1" s="66"/>
      <c r="I1" s="66"/>
      <c r="J1" s="66"/>
    </row>
    <row r="2" spans="1:10" ht="62.4">
      <c r="A2" s="2" t="s">
        <v>1138</v>
      </c>
      <c r="D2" s="16"/>
    </row>
    <row r="3" spans="1:10" ht="16.2" thickBot="1">
      <c r="D3" s="13" t="s">
        <v>1127</v>
      </c>
    </row>
    <row r="4" spans="1:10" ht="16.2" thickBot="1">
      <c r="D4" s="21" t="s">
        <v>7</v>
      </c>
      <c r="E4" s="21" t="s">
        <v>8</v>
      </c>
      <c r="F4" s="21" t="s">
        <v>2</v>
      </c>
      <c r="G4" s="21" t="s">
        <v>3</v>
      </c>
      <c r="H4" s="21" t="s">
        <v>4</v>
      </c>
      <c r="I4" s="21" t="s">
        <v>5</v>
      </c>
      <c r="J4" s="22" t="s">
        <v>6</v>
      </c>
    </row>
    <row r="5" spans="1:10" ht="16.2" thickBot="1">
      <c r="D5" s="23" t="s">
        <v>1</v>
      </c>
      <c r="E5" s="24">
        <f>SUM(F5:J5)</f>
        <v>673504</v>
      </c>
      <c r="F5" s="24">
        <v>123855</v>
      </c>
      <c r="G5" s="24">
        <v>253054</v>
      </c>
      <c r="H5" s="24">
        <v>171491</v>
      </c>
      <c r="I5" s="24">
        <v>84329</v>
      </c>
      <c r="J5" s="25">
        <v>40775</v>
      </c>
    </row>
    <row r="6" spans="1:10">
      <c r="D6"/>
      <c r="E6" s="15"/>
      <c r="F6" s="15"/>
      <c r="G6" s="15"/>
      <c r="H6" s="15"/>
      <c r="I6" s="15"/>
      <c r="J6" s="15"/>
    </row>
    <row r="7" spans="1:10">
      <c r="E7" s="15"/>
      <c r="F7" s="15"/>
      <c r="G7" s="15"/>
      <c r="H7" s="15"/>
      <c r="I7" s="15"/>
      <c r="J7" s="15"/>
    </row>
    <row r="8" spans="1:10" ht="16.2" thickBot="1">
      <c r="D8" s="7"/>
      <c r="E8" s="10"/>
    </row>
    <row r="9" spans="1:10" ht="16.2" thickBot="1">
      <c r="D9" s="5"/>
      <c r="E9" s="14" t="s">
        <v>1128</v>
      </c>
      <c r="F9" s="29">
        <v>500</v>
      </c>
    </row>
    <row r="10" spans="1:10">
      <c r="D10" s="4"/>
      <c r="E10" s="1"/>
      <c r="F10" s="8"/>
    </row>
    <row r="11" spans="1:10">
      <c r="D11" s="4"/>
      <c r="E11" s="1"/>
      <c r="F11" s="8"/>
    </row>
    <row r="12" spans="1:10">
      <c r="D12" s="4"/>
      <c r="E12" s="1"/>
      <c r="F12" s="8"/>
    </row>
    <row r="13" spans="1:10" ht="16.2" thickBot="1">
      <c r="D13" s="4"/>
      <c r="E13" s="1"/>
      <c r="F13" s="8"/>
    </row>
    <row r="14" spans="1:10" ht="16.2" thickBot="1">
      <c r="D14" s="21" t="s">
        <v>7</v>
      </c>
      <c r="E14" s="26" t="s">
        <v>9</v>
      </c>
      <c r="F14" s="21" t="s">
        <v>2</v>
      </c>
      <c r="G14" s="21" t="s">
        <v>3</v>
      </c>
      <c r="H14" s="21" t="s">
        <v>4</v>
      </c>
      <c r="I14" s="21" t="s">
        <v>5</v>
      </c>
      <c r="J14" s="22" t="s">
        <v>6</v>
      </c>
    </row>
    <row r="15" spans="1:10" ht="16.2" thickBot="1">
      <c r="D15" s="23" t="s">
        <v>1</v>
      </c>
      <c r="E15" s="27">
        <f>SUM(F15:J15)</f>
        <v>500</v>
      </c>
      <c r="F15" s="56">
        <f t="shared" ref="F15:J15" si="0">ROUND((F5/$E$5)*$F$9,0)</f>
        <v>92</v>
      </c>
      <c r="G15" s="56">
        <f t="shared" si="0"/>
        <v>188</v>
      </c>
      <c r="H15" s="56">
        <f t="shared" si="0"/>
        <v>127</v>
      </c>
      <c r="I15" s="56">
        <f t="shared" si="0"/>
        <v>63</v>
      </c>
      <c r="J15" s="56">
        <f t="shared" si="0"/>
        <v>30</v>
      </c>
    </row>
    <row r="16" spans="1:10">
      <c r="D16" s="4"/>
      <c r="E16" s="1"/>
    </row>
    <row r="19" spans="6:6">
      <c r="F19" s="12"/>
    </row>
  </sheetData>
  <mergeCells count="1">
    <mergeCell ref="D1:J1"/>
  </mergeCells>
  <pageMargins left="0.7" right="0.7" top="0.78740157499999996" bottom="0.78740157499999996"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E893D-3740-4E76-AA5C-25A67529A1BF}">
  <dimension ref="A1:H21"/>
  <sheetViews>
    <sheetView topLeftCell="A2" zoomScale="145" zoomScaleNormal="145" workbookViewId="0">
      <selection activeCell="E14" sqref="E14"/>
    </sheetView>
  </sheetViews>
  <sheetFormatPr defaultColWidth="10.88671875" defaultRowHeight="15.6"/>
  <cols>
    <col min="1" max="1" width="51.21875" style="2" customWidth="1"/>
    <col min="2" max="2" width="2.77734375" style="3" customWidth="1"/>
    <col min="3" max="3" width="2.77734375" customWidth="1"/>
    <col min="4" max="4" width="10.21875" style="9" customWidth="1"/>
    <col min="5" max="5" width="17.21875" style="8" customWidth="1"/>
    <col min="6" max="8" width="17.21875" customWidth="1"/>
  </cols>
  <sheetData>
    <row r="1" spans="1:8" ht="21" customHeight="1">
      <c r="A1" s="6" t="s">
        <v>0</v>
      </c>
      <c r="C1" s="30"/>
      <c r="D1" s="66" t="s">
        <v>1126</v>
      </c>
      <c r="E1" s="66"/>
      <c r="F1" s="66"/>
      <c r="G1" s="66"/>
      <c r="H1" s="66"/>
    </row>
    <row r="2" spans="1:8" ht="62.4">
      <c r="A2" s="2" t="s">
        <v>1135</v>
      </c>
      <c r="D2" s="16"/>
    </row>
    <row r="3" spans="1:8" ht="16.2" thickBot="1">
      <c r="D3" s="13" t="s">
        <v>1137</v>
      </c>
    </row>
    <row r="4" spans="1:8" ht="16.2" thickBot="1">
      <c r="D4" s="21" t="s">
        <v>1129</v>
      </c>
      <c r="E4" s="55" t="s">
        <v>1132</v>
      </c>
      <c r="F4" s="55" t="s">
        <v>1134</v>
      </c>
      <c r="G4" s="55" t="s">
        <v>1133</v>
      </c>
    </row>
    <row r="5" spans="1:8" ht="16.2" thickBot="1">
      <c r="D5" s="54" t="s">
        <v>1130</v>
      </c>
      <c r="E5" s="54">
        <f>'statcube data'!C14</f>
        <v>125819</v>
      </c>
      <c r="F5" s="54">
        <f>'statcube data'!D14</f>
        <v>554706</v>
      </c>
      <c r="G5" s="54">
        <f>'statcube data'!E14</f>
        <v>156496</v>
      </c>
    </row>
    <row r="6" spans="1:8" ht="16.2" thickBot="1">
      <c r="D6" s="54" t="s">
        <v>1131</v>
      </c>
      <c r="E6" s="54">
        <f>'statcube data'!C15</f>
        <v>119633</v>
      </c>
      <c r="F6" s="54">
        <f>'statcube data'!D15</f>
        <v>546861</v>
      </c>
      <c r="G6" s="54">
        <f>'statcube data'!E15</f>
        <v>195436</v>
      </c>
    </row>
    <row r="7" spans="1:8">
      <c r="E7" s="15"/>
      <c r="F7" s="15"/>
      <c r="G7" s="15"/>
      <c r="H7" s="15"/>
    </row>
    <row r="8" spans="1:8" ht="16.2" thickBot="1">
      <c r="D8" s="7"/>
      <c r="E8" s="10"/>
    </row>
    <row r="9" spans="1:8" ht="16.2" thickBot="1">
      <c r="D9" s="5"/>
      <c r="E9" s="14" t="s">
        <v>1128</v>
      </c>
      <c r="F9" s="29">
        <v>200</v>
      </c>
    </row>
    <row r="10" spans="1:8">
      <c r="D10" s="4"/>
      <c r="E10" s="1"/>
      <c r="F10" s="8"/>
    </row>
    <row r="11" spans="1:8">
      <c r="D11" s="4"/>
      <c r="E11" s="1"/>
      <c r="F11" s="8"/>
    </row>
    <row r="12" spans="1:8" ht="30" customHeight="1">
      <c r="D12" s="4"/>
      <c r="E12" s="1"/>
      <c r="F12" s="8"/>
    </row>
    <row r="13" spans="1:8" ht="16.2" thickBot="1">
      <c r="D13" s="4" t="s">
        <v>1136</v>
      </c>
      <c r="E13" s="1"/>
      <c r="F13" s="8"/>
    </row>
    <row r="14" spans="1:8" ht="16.2" thickBot="1">
      <c r="D14" s="21" t="s">
        <v>1129</v>
      </c>
      <c r="E14" s="55" t="s">
        <v>1132</v>
      </c>
      <c r="F14" s="55" t="s">
        <v>1134</v>
      </c>
      <c r="G14" s="55" t="s">
        <v>1133</v>
      </c>
    </row>
    <row r="15" spans="1:8" ht="16.2" thickBot="1">
      <c r="D15" s="54" t="s">
        <v>1130</v>
      </c>
      <c r="E15" s="54">
        <f t="shared" ref="E15:G16" si="0">ROUND((E5/SUM($E$5:$G$6)*$F$9),0)</f>
        <v>15</v>
      </c>
      <c r="F15" s="54">
        <f t="shared" si="0"/>
        <v>65</v>
      </c>
      <c r="G15" s="54">
        <f t="shared" si="0"/>
        <v>18</v>
      </c>
    </row>
    <row r="16" spans="1:8" ht="16.2" thickBot="1">
      <c r="D16" s="54" t="s">
        <v>1131</v>
      </c>
      <c r="E16" s="54">
        <f t="shared" si="0"/>
        <v>14</v>
      </c>
      <c r="F16" s="54">
        <f t="shared" si="0"/>
        <v>64</v>
      </c>
      <c r="G16" s="54">
        <f t="shared" si="0"/>
        <v>23</v>
      </c>
    </row>
    <row r="17" spans="4:5">
      <c r="D17"/>
      <c r="E17"/>
    </row>
    <row r="18" spans="4:5">
      <c r="D18"/>
      <c r="E18" s="12"/>
    </row>
    <row r="19" spans="4:5">
      <c r="D19"/>
      <c r="E19"/>
    </row>
    <row r="20" spans="4:5">
      <c r="D20"/>
      <c r="E20"/>
    </row>
    <row r="21" spans="4:5">
      <c r="D21"/>
      <c r="E21"/>
    </row>
  </sheetData>
  <mergeCells count="1">
    <mergeCell ref="D1:H1"/>
  </mergeCells>
  <pageMargins left="0.7" right="0.7" top="0.78740157499999996" bottom="0.78740157499999996"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F60C3-6EFD-4A1F-A340-2B76B32625EE}">
  <dimension ref="A2:E23"/>
  <sheetViews>
    <sheetView workbookViewId="0">
      <selection activeCell="E15" sqref="E15"/>
    </sheetView>
  </sheetViews>
  <sheetFormatPr defaultColWidth="15.6640625" defaultRowHeight="12.75" customHeight="1"/>
  <cols>
    <col min="1" max="1" width="15.88671875" style="57" customWidth="1"/>
    <col min="2" max="16384" width="15.6640625" style="57"/>
  </cols>
  <sheetData>
    <row r="2" spans="1:5" ht="12.75" customHeight="1" thickBot="1"/>
    <row r="3" spans="1:5" ht="18" customHeight="1" thickBot="1">
      <c r="A3" s="58" t="s">
        <v>1139</v>
      </c>
    </row>
    <row r="4" spans="1:5" ht="18" customHeight="1" thickBot="1">
      <c r="A4" s="58" t="s">
        <v>1140</v>
      </c>
    </row>
    <row r="5" spans="1:5" ht="18" customHeight="1">
      <c r="A5" s="58" t="s">
        <v>1141</v>
      </c>
    </row>
    <row r="7" spans="1:5" ht="18" customHeight="1">
      <c r="A7" s="58" t="s">
        <v>1142</v>
      </c>
    </row>
    <row r="8" spans="1:5" ht="12.75" customHeight="1">
      <c r="A8" s="59" t="s">
        <v>1143</v>
      </c>
      <c r="B8" s="59" t="s">
        <v>1144</v>
      </c>
    </row>
    <row r="9" spans="1:5" ht="12.75" customHeight="1">
      <c r="A9" s="59" t="s">
        <v>1145</v>
      </c>
      <c r="B9" s="59" t="s">
        <v>1146</v>
      </c>
    </row>
    <row r="10" spans="1:5" ht="13.2"/>
    <row r="11" spans="1:5" ht="26.25" customHeight="1">
      <c r="A11" s="68" t="s">
        <v>1147</v>
      </c>
      <c r="B11" s="69"/>
      <c r="C11" s="70" t="s">
        <v>1148</v>
      </c>
      <c r="D11" s="69"/>
      <c r="E11" s="69"/>
    </row>
    <row r="12" spans="1:5" ht="26.25" customHeight="1">
      <c r="A12" s="68" t="s">
        <v>1149</v>
      </c>
      <c r="B12" s="69"/>
      <c r="C12" s="61" t="s">
        <v>1150</v>
      </c>
      <c r="D12" s="61" t="s">
        <v>1151</v>
      </c>
      <c r="E12" s="61" t="s">
        <v>1152</v>
      </c>
    </row>
    <row r="13" spans="1:5" ht="26.25" customHeight="1">
      <c r="B13" s="60" t="s">
        <v>1153</v>
      </c>
    </row>
    <row r="14" spans="1:5" ht="13.2">
      <c r="B14" s="62" t="s">
        <v>1154</v>
      </c>
      <c r="C14" s="63">
        <v>125819</v>
      </c>
      <c r="D14" s="63">
        <v>554706</v>
      </c>
      <c r="E14" s="63">
        <v>156496</v>
      </c>
    </row>
    <row r="15" spans="1:5" ht="13.2">
      <c r="B15" s="62" t="s">
        <v>1155</v>
      </c>
      <c r="C15" s="63">
        <v>119633</v>
      </c>
      <c r="D15" s="63">
        <v>546861</v>
      </c>
      <c r="E15" s="63">
        <v>195436</v>
      </c>
    </row>
    <row r="16" spans="1:5" ht="13.2"/>
    <row r="17" spans="1:2" ht="13.2">
      <c r="A17" s="64" t="s">
        <v>1156</v>
      </c>
      <c r="B17" s="65" t="s">
        <v>1157</v>
      </c>
    </row>
    <row r="18" spans="1:2" ht="13.2"/>
    <row r="19" spans="1:2" ht="12.75" customHeight="1">
      <c r="A19" s="64" t="s">
        <v>1158</v>
      </c>
      <c r="B19" s="65" t="s">
        <v>1159</v>
      </c>
    </row>
    <row r="20" spans="1:2" ht="12.75" customHeight="1">
      <c r="A20" s="64" t="s">
        <v>1160</v>
      </c>
      <c r="B20" s="65" t="s">
        <v>1161</v>
      </c>
    </row>
    <row r="21" spans="1:2" ht="12.75" customHeight="1">
      <c r="A21" s="64" t="s">
        <v>1153</v>
      </c>
      <c r="B21" s="65" t="s">
        <v>1162</v>
      </c>
    </row>
    <row r="22" spans="1:2" ht="12.75" customHeight="1">
      <c r="A22" s="64" t="s">
        <v>1163</v>
      </c>
      <c r="B22" s="65" t="s">
        <v>1164</v>
      </c>
    </row>
    <row r="23" spans="1:2" ht="12.75" customHeight="1">
      <c r="A23" s="64" t="s">
        <v>1165</v>
      </c>
      <c r="B23" s="65" t="s">
        <v>1166</v>
      </c>
    </row>
  </sheetData>
  <mergeCells count="3">
    <mergeCell ref="A11:B11"/>
    <mergeCell ref="C11:E11"/>
    <mergeCell ref="A12:B12"/>
  </mergeCells>
  <pageMargins left="0.75" right="0.75" top="1" bottom="1" header="0.5" footer="0.5"/>
  <pageSetup orientation="portrait" horizontalDpi="300"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simple random sample</vt:lpstr>
      <vt:lpstr>stratified sample 1d</vt:lpstr>
      <vt:lpstr>stratified sample 2d</vt:lpstr>
      <vt:lpstr>statcube data</vt:lpstr>
      <vt:lpstr>lut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Karl-Michael Höferl</dc:creator>
  <cp:lastModifiedBy>Karl Michael Höferl</cp:lastModifiedBy>
  <dcterms:created xsi:type="dcterms:W3CDTF">2012-05-14T14:18:20Z</dcterms:created>
  <dcterms:modified xsi:type="dcterms:W3CDTF">2026-02-25T09:29:01Z</dcterms:modified>
</cp:coreProperties>
</file>